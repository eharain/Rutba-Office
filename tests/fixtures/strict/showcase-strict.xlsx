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5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Rutba2.0\office-formats\tests\fixtures\strict\"/>
    </mc:Choice>
  </mc:AlternateContent>
  <xr:revisionPtr revIDLastSave="0" documentId="8_{64969796-5DAC-4790-9D1A-AE6FF0F4A7CF}" xr6:coauthVersionLast="47" xr6:coauthVersionMax="47" xr10:uidLastSave="{00000000-0000-0000-0000-000000000000}"/>
  <bookViews>
    <workbookView xWindow="-103" yWindow="-103" windowWidth="22149" windowHeight="11829" xr2:uid="{B32332A6-EAFE-4225-9984-CAFE88A9815A}"/>
  </bookViews>
  <sheets>
    <sheet name="Sales" sheetId="1" r:id="rId1"/>
    <sheet name="Summary" sheetId="2" r:id="rId2"/>
    <sheet name="Charts" sheetId="3" r:id="rId3"/>
    <sheet name="Data types" sheetId="4" r:id="rId4"/>
    <sheet name="Table" sheetId="5" r:id="rId5"/>
  </sheets>
  <definedNames>
    <definedName name="_xlnm._FilterDatabase" localSheetId="0" hidden="1">Sales!$A$1:$H$13</definedName>
    <definedName name="GrandTotal">Sales!$F$14</definedName>
    <definedName name="Regions">Sales!$B$1:$E$1</definedName>
    <definedName name="SalesTotals">Sales!$F$2:$F$13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D7" i="5" l="1"/>
  <c r="D6" i="5"/>
  <c r="D5" i="5"/>
  <c r="D4" i="5"/>
  <c r="D3" i="5"/>
  <c r="D2" i="5"/>
  <c r="B15" i="4"/>
  <c r="B14" i="4"/>
  <c r="D19" i="2"/>
  <c r="C19" i="2"/>
  <c r="B19" i="2"/>
  <c r="A19" i="2"/>
  <c r="B16" i="2"/>
  <c r="B15" i="2"/>
  <c r="B13" i="2"/>
  <c r="B8" i="2"/>
  <c r="B7" i="2"/>
  <c r="B6" i="2"/>
  <c r="E17" i="1"/>
  <c r="E16" i="1"/>
  <c r="E15" i="1"/>
  <c r="E14" i="1"/>
  <c r="D20" i="2" s="1"/>
  <c r="D17" i="1"/>
  <c r="D16" i="1"/>
  <c r="D15" i="1"/>
  <c r="D14" i="1"/>
  <c r="C20" i="2" s="1"/>
  <c r="C17" i="1"/>
  <c r="C16" i="1"/>
  <c r="C15" i="1"/>
  <c r="C14" i="1"/>
  <c r="B20" i="2" s="1"/>
  <c r="B17" i="1"/>
  <c r="B16" i="1"/>
  <c r="B15" i="1"/>
  <c r="B14" i="1"/>
  <c r="F13" i="1"/>
  <c r="H13" i="1" s="1"/>
  <c r="F12" i="1"/>
  <c r="F11" i="1"/>
  <c r="H11" i="1" s="1"/>
  <c r="F10" i="1"/>
  <c r="H10" i="1" s="1"/>
  <c r="F9" i="1"/>
  <c r="H9" i="1" s="1"/>
  <c r="F8" i="1"/>
  <c r="H8" i="1" s="1"/>
  <c r="H7" i="1"/>
  <c r="F7" i="1"/>
  <c r="F6" i="1"/>
  <c r="H6" i="1" s="1"/>
  <c r="F5" i="1"/>
  <c r="H5" i="1" s="1"/>
  <c r="F4" i="1"/>
  <c r="H4" i="1" s="1"/>
  <c r="F3" i="1"/>
  <c r="H3" i="1" s="1"/>
  <c r="F2" i="1"/>
  <c r="B10" i="5" l="1"/>
  <c r="D8" i="5"/>
  <c r="B14" i="2"/>
  <c r="A20" i="2"/>
  <c r="F17" i="1"/>
  <c r="F14" i="1"/>
  <c r="B9" i="2" s="1"/>
  <c r="B10" i="2"/>
  <c r="B5" i="2"/>
  <c r="B3" i="2"/>
  <c r="F16" i="1"/>
  <c r="F15" i="1"/>
  <c r="H12" i="1"/>
  <c r="B16" i="4" l="1"/>
  <c r="B4" i="2"/>
  <c r="B11" i="2"/>
  <c r="B12" i="2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Ejaz Arain</author>
  </authors>
  <commentList>
    <comment ref="A1" authorId="0" shapeId="1025" xr:uid="{839680DB-ABD1-4DB6-A51E-34C634AE5E1D}">
      <text>
        <r>
          <rPr>
            <b/>
            <sz val="9"/>
            <color indexed="81"/>
            <rFont val="Tahoma"/>
            <family val="2"/>
          </rPr>
          <t>Months of the year 2026-09-10 01:45 - a plain note, not a threaded comment.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141514</xdr:colOff>
                <xdr:row>0</xdr:row>
                <xdr:rowOff>16329</xdr:rowOff>
              </from>
              <to>
                <xdr:col>2</xdr:col>
                <xdr:colOff>729343</xdr:colOff>
                <xdr:row>4</xdr:row>
                <xdr:rowOff>5443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<sst xmlns="http://purl.oclc.org/ooxml/spreadsheetml/main" count="111" uniqueCount="109">
  <si>
    <t>Month</t>
  </si>
  <si>
    <t>North</t>
  </si>
  <si>
    <t>South</t>
  </si>
  <si>
    <t>East</t>
  </si>
  <si>
    <t>West</t>
  </si>
  <si>
    <t>Total</t>
  </si>
  <si>
    <t>Trend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</si>
  <si>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</si>
  <si>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</si>
  <si>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</si>
  <si>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</si>
  <si>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</si>
  <si>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</si>
  <si>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</si>
  <si>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</si>
  <si>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</si>
  <si>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</si>
  <si>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</si>
  <si>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</si>
  <si>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</si>
  <si>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</si>
  <si>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Best</t>
  </si>
  <si>
    <t>Worst</t>
  </si>
  <si>
    <t>Rutba Office</t>
  </si>
  <si>
    <t>Approved?</t>
  </si>
  <si>
    <t>Yes</t>
  </si>
  <si>
    <t>Summary of the year</t>
  </si>
  <si>
    <t>Grand total</t>
  </si>
  <si>
    <t>Grand total, by name</t>
  </si>
  <si>
    <t>Best month</t>
  </si>
  <si>
    <t>March, looked up</t>
  </si>
  <si>
    <t>Months over 8,000</t>
  </si>
  <si>
    <t>J-months, summed</t>
  </si>
  <si>
    <t>North share</t>
  </si>
  <si>
    <t>Average month, by name</t>
  </si>
  <si>
    <t>Verdict</t>
  </si>
  <si>
    <t>As text</t>
  </si>
  <si>
    <t>Data types, added</t>
  </si>
  <si>
    <t>Table total</t>
  </si>
  <si>
    <t>Rounded, nested</t>
  </si>
  <si>
    <t>Regions counted</t>
  </si>
  <si>
    <t>Region totals</t>
  </si>
  <si>
    <t>Kind</t>
  </si>
  <si>
    <t>Value</t>
  </si>
  <si>
    <t>Hidden</t>
  </si>
  <si>
    <t>Note</t>
  </si>
  <si>
    <t>Integer</t>
  </si>
  <si>
    <t>hidden 0</t>
  </si>
  <si>
    <t>Decimal</t>
  </si>
  <si>
    <t>hidden 1</t>
  </si>
  <si>
    <t>Currency</t>
  </si>
  <si>
    <t>hidden 2</t>
  </si>
  <si>
    <t>Percent</t>
  </si>
  <si>
    <t>hidden 3</t>
  </si>
  <si>
    <t>Date</t>
  </si>
  <si>
    <t>hidden 4</t>
  </si>
  <si>
    <t>Time</t>
  </si>
  <si>
    <t>hidden 5</t>
  </si>
  <si>
    <t>Fraction</t>
  </si>
  <si>
    <t>hidden 6</t>
  </si>
  <si>
    <t>Scientific</t>
  </si>
  <si>
    <t>hidden 7</t>
  </si>
  <si>
    <t>Boolean</t>
  </si>
  <si>
    <t>hidden 8</t>
  </si>
  <si>
    <t>Negative in red</t>
  </si>
  <si>
    <t>hidden 9</t>
  </si>
  <si>
    <t>Thousands</t>
  </si>
  <si>
    <t>hidden 10</t>
  </si>
  <si>
    <t>Accounting</t>
  </si>
  <si>
    <t>hidden 11</t>
  </si>
  <si>
    <t>Division by zero</t>
  </si>
  <si>
    <t>Not available</t>
  </si>
  <si>
    <t>From another sheet</t>
  </si>
  <si>
    <t>Long text, wrapped</t>
  </si>
  <si>
    <t>A sentence long enough to need wrapping inside its cell, which is what this column is for.</t>
  </si>
  <si>
    <t>Rich text</t>
  </si>
  <si>
    <r>
      <t>Bold start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rgb="FFFF0000"/>
        <rFont val="Aptos Narrow"/>
        <family val="2"/>
        <scheme val="minor"/>
      </rPr>
      <t xml:space="preserve"> red middl</t>
    </r>
    <r>
      <rPr>
        <sz val="11"/>
        <color theme="1"/>
        <rFont val="Aptos Narrow"/>
        <family val="2"/>
        <scheme val="minor"/>
      </rPr>
      <t>e, plain end</t>
    </r>
  </si>
  <si>
    <t>Rotated</t>
  </si>
  <si>
    <t>Up at 45 degrees</t>
  </si>
  <si>
    <t>Merged across</t>
  </si>
  <si>
    <t>One cell across three columns</t>
  </si>
  <si>
    <t>Superscript</t>
  </si>
  <si>
    <r>
      <t>E = mc</t>
    </r>
    <r>
      <rPr>
        <vertAlign val="superscript"/>
        <sz val="11"/>
        <color theme="1"/>
        <rFont val="Aptos Narrow"/>
        <family val="2"/>
        <scheme val="minor"/>
      </rPr>
      <t>2</t>
    </r>
  </si>
  <si>
    <t>Unicode</t>
  </si>
  <si>
    <t>Café — naïve • 日本語 • العربية • Ωmega • ✓</t>
  </si>
  <si>
    <t>Big font</t>
  </si>
  <si>
    <t>Twenty-four point</t>
  </si>
  <si>
    <t>Fill and border</t>
  </si>
  <si>
    <t>Boxed</t>
  </si>
  <si>
    <t>Indented, right</t>
  </si>
  <si>
    <t>right</t>
  </si>
  <si>
    <t>Grouped rows below</t>
  </si>
  <si>
    <t>one</t>
  </si>
  <si>
    <t>two</t>
  </si>
  <si>
    <t>three</t>
  </si>
  <si>
    <t>plain</t>
  </si>
  <si>
    <t>three decimals</t>
  </si>
  <si>
    <t>pounds</t>
  </si>
  <si>
    <t>Product</t>
  </si>
  <si>
    <t>Quantity</t>
  </si>
  <si>
    <t>Price</t>
  </si>
  <si>
    <t>Amount</t>
  </si>
  <si>
    <t>Desk</t>
  </si>
  <si>
    <t>Chair</t>
  </si>
  <si>
    <t>Lamp</t>
  </si>
  <si>
    <t>Shelf</t>
  </si>
  <si>
    <t>Monitor</t>
  </si>
  <si>
    <t>Cable</t>
  </si>
  <si>
    <t>Structured reference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</si>
</sst>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#,##0.0"/>
    <numFmt numFmtId="165" formatCode="0.0%"/>
    <numFmt numFmtId="166" formatCode="0.000"/>
    <numFmt numFmtId="167" formatCode="&quot;£&quot;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24"/>
      <color theme="1"/>
      <name val="Georgia"/>
      <family val="1"/>
    </font>
    <font>
      <u/>
      <sz val="11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</fills>
  <borders count="4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A0A0A0"/>
      </start>
      <end style="thin">
        <color rgb="FFA0A0A0"/>
      </end>
      <top style="thin">
        <color rgb="FFA0A0A0"/>
      </top>
      <bottom style="thin">
        <color rgb="FFA0A0A0"/>
      </bottom>
      <diagonal/>
    </border>
    <border>
      <start style="thick">
        <color indexed="64"/>
      </start>
      <end style="thick">
        <color indexed="64"/>
      </end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2" xfId="0" applyFont="1" applyFill="1" applyBorder="1"/>
    <xf numFmtId="0" fontId="0" fillId="0" borderId="2" xfId="0" applyBorder="1"/>
    <xf numFmtId="3" fontId="0" fillId="0" borderId="2" xfId="0" applyNumberFormat="1" applyBorder="1"/>
    <xf numFmtId="165" fontId="0" fillId="0" borderId="2" xfId="0" applyNumberFormat="1" applyBorder="1"/>
    <xf numFmtId="0" fontId="1" fillId="3" borderId="2" xfId="0" applyFont="1" applyFill="1" applyBorder="1"/>
    <xf numFmtId="3" fontId="1" fillId="3" borderId="2" xfId="0" applyNumberFormat="1" applyFont="1" applyFill="1" applyBorder="1"/>
    <xf numFmtId="0" fontId="0" fillId="4" borderId="2" xfId="0" applyFill="1" applyBorder="1"/>
    <xf numFmtId="164" fontId="0" fillId="4" borderId="2" xfId="0" applyNumberFormat="1" applyFill="1" applyBorder="1"/>
    <xf numFmtId="3" fontId="0" fillId="4" borderId="2" xfId="0" applyNumberFormat="1" applyFill="1" applyBorder="1"/>
    <xf numFmtId="3" fontId="1" fillId="0" borderId="2" xfId="0" applyNumberFormat="1" applyFont="1" applyBorder="1"/>
    <xf numFmtId="0" fontId="4" fillId="0" borderId="0" xfId="1"/>
    <xf numFmtId="166" fontId="0" fillId="0" borderId="0" xfId="0" applyNumberFormat="1"/>
    <xf numFmtId="0" fontId="1" fillId="6" borderId="1" xfId="0" applyFont="1" applyFill="1" applyBorder="1"/>
    <xf numFmtId="3" fontId="0" fillId="6" borderId="1" xfId="0" applyNumberFormat="1" applyFill="1" applyBorder="1"/>
    <xf numFmtId="0" fontId="0" fillId="6" borderId="1" xfId="0" applyFill="1" applyBorder="1"/>
    <xf numFmtId="1" fontId="0" fillId="6" borderId="1" xfId="0" applyNumberFormat="1" applyFill="1" applyBorder="1"/>
    <xf numFmtId="165" fontId="0" fillId="6" borderId="1" xfId="0" applyNumberFormat="1" applyFill="1" applyBorder="1"/>
    <xf numFmtId="164" fontId="0" fillId="6" borderId="1" xfId="0" applyNumberFormat="1" applyFill="1" applyBorder="1"/>
    <xf numFmtId="166" fontId="0" fillId="6" borderId="1" xfId="0" applyNumberFormat="1" applyFill="1" applyBorder="1"/>
    <xf numFmtId="4" fontId="0" fillId="6" borderId="1" xfId="0" applyNumberFormat="1" applyFill="1" applyBorder="1"/>
    <xf numFmtId="2" fontId="0" fillId="6" borderId="1" xfId="0" applyNumberFormat="1" applyFill="1" applyBorder="1"/>
    <xf numFmtId="0" fontId="1" fillId="7" borderId="0" xfId="0" applyFont="1" applyFill="1"/>
    <xf numFmtId="167" fontId="0" fillId="0" borderId="0" xfId="0" applyNumberFormat="1"/>
    <xf numFmtId="14" fontId="0" fillId="0" borderId="0" xfId="0" applyNumberFormat="1"/>
    <xf numFmtId="20" fontId="0" fillId="0" borderId="0" xfId="0" applyNumberFormat="1"/>
    <xf numFmtId="12" fontId="0" fillId="0" borderId="0" xfId="0" applyNumberFormat="1"/>
    <xf numFmtId="11" fontId="0" fillId="0" borderId="0" xfId="0" applyNumberFormat="1"/>
    <xf numFmtId="40" fontId="0" fillId="0" borderId="0" xfId="0" applyNumberFormat="1"/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textRotation="45"/>
    </xf>
    <xf numFmtId="0" fontId="8" fillId="0" borderId="0" xfId="0" applyFont="1"/>
    <xf numFmtId="0" fontId="0" fillId="9" borderId="3" xfId="0" applyFill="1" applyBorder="1"/>
    <xf numFmtId="0" fontId="0" fillId="0" borderId="0" xfId="0" applyAlignment="1">
      <alignment horizontal="right" indent="2"/>
    </xf>
    <xf numFmtId="0" fontId="9" fillId="0" borderId="0" xfId="0" applyFont="1"/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">
    <dxf>
      <numFmt numFmtId="167" formatCode="&quot;£&quot;#,##0.00"/>
    </dxf>
    <dxf>
      <numFmt numFmtId="167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D-47CA-BC42-580DFC01EF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D-47CA-BC42-580DFC01EF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2D-47CA-BC42-580DFC01EF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2D-47CA-BC42-580DFC01EF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Summary!$A$19:$D$19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Summary!$A$20:$D$20</c:f>
              <c:numCache>
                <c:formatCode>#,##0</c:formatCode>
                <c:ptCount val="4"/>
                <c:pt idx="0">
                  <c:v>28524</c:v>
                </c:pt>
                <c:pt idx="1">
                  <c:v>33960</c:v>
                </c:pt>
                <c:pt idx="2">
                  <c:v>38329</c:v>
                </c:pt>
                <c:pt idx="3">
                  <c:v>41631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0-4892-AFF7-C5E64C3CA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region,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Sales!$B$2:$B$13</c:f>
              <c:numCache>
                <c:formatCode>#,##0</c:formatCode>
                <c:ptCount val="12"/>
                <c:pt idx="0">
                  <c:v>1200</c:v>
                </c:pt>
                <c:pt idx="1">
                  <c:v>1414</c:v>
                </c:pt>
                <c:pt idx="2">
                  <c:v>1628</c:v>
                </c:pt>
                <c:pt idx="3">
                  <c:v>1842</c:v>
                </c:pt>
                <c:pt idx="4">
                  <c:v>2056</c:v>
                </c:pt>
                <c:pt idx="5">
                  <c:v>2270</c:v>
                </c:pt>
                <c:pt idx="6">
                  <c:v>2484</c:v>
                </c:pt>
                <c:pt idx="7">
                  <c:v>2698</c:v>
                </c:pt>
                <c:pt idx="8">
                  <c:v>2912</c:v>
                </c:pt>
                <c:pt idx="9">
                  <c:v>3126</c:v>
                </c:pt>
                <c:pt idx="10">
                  <c:v>3340</c:v>
                </c:pt>
                <c:pt idx="11">
                  <c:v>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2-4FC7-9869-44A1ADE6ED3E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Sales!$C$2:$C$13</c:f>
              <c:numCache>
                <c:formatCode>#,##0</c:formatCode>
                <c:ptCount val="12"/>
                <c:pt idx="0">
                  <c:v>1653</c:v>
                </c:pt>
                <c:pt idx="1">
                  <c:v>1867</c:v>
                </c:pt>
                <c:pt idx="2">
                  <c:v>2081</c:v>
                </c:pt>
                <c:pt idx="3">
                  <c:v>2295</c:v>
                </c:pt>
                <c:pt idx="4">
                  <c:v>2509</c:v>
                </c:pt>
                <c:pt idx="5">
                  <c:v>2723</c:v>
                </c:pt>
                <c:pt idx="6">
                  <c:v>2937</c:v>
                </c:pt>
                <c:pt idx="7">
                  <c:v>3151</c:v>
                </c:pt>
                <c:pt idx="8">
                  <c:v>3365</c:v>
                </c:pt>
                <c:pt idx="9">
                  <c:v>3579</c:v>
                </c:pt>
                <c:pt idx="10">
                  <c:v>3793</c:v>
                </c:pt>
                <c:pt idx="11">
                  <c:v>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2-4FC7-9869-44A1ADE6ED3E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Sales!$D$2:$D$13</c:f>
              <c:numCache>
                <c:formatCode>#,##0</c:formatCode>
                <c:ptCount val="12"/>
                <c:pt idx="0">
                  <c:v>2106</c:v>
                </c:pt>
                <c:pt idx="1">
                  <c:v>2320</c:v>
                </c:pt>
                <c:pt idx="2">
                  <c:v>2534</c:v>
                </c:pt>
                <c:pt idx="3">
                  <c:v>2748</c:v>
                </c:pt>
                <c:pt idx="4">
                  <c:v>2962</c:v>
                </c:pt>
                <c:pt idx="5">
                  <c:v>3176</c:v>
                </c:pt>
                <c:pt idx="6">
                  <c:v>3390</c:v>
                </c:pt>
                <c:pt idx="7">
                  <c:v>3604</c:v>
                </c:pt>
                <c:pt idx="8">
                  <c:v>3818</c:v>
                </c:pt>
                <c:pt idx="9">
                  <c:v>4032</c:v>
                </c:pt>
                <c:pt idx="10">
                  <c:v>4246</c:v>
                </c:pt>
                <c:pt idx="11">
                  <c:v>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2-4FC7-9869-44A1ADE6ED3E}"/>
            </c:ext>
          </c:extLst>
        </c:ser>
        <c:ser>
          <c:idx val="3"/>
          <c:order val="3"/>
          <c:tx>
            <c:strRef>
              <c:f>Sales!$E$1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Sales!$E$2:$E$13</c:f>
              <c:numCache>
                <c:formatCode>#,##0</c:formatCode>
                <c:ptCount val="12"/>
                <c:pt idx="0">
                  <c:v>2559</c:v>
                </c:pt>
                <c:pt idx="1">
                  <c:v>2773</c:v>
                </c:pt>
                <c:pt idx="2">
                  <c:v>2987</c:v>
                </c:pt>
                <c:pt idx="3">
                  <c:v>3201</c:v>
                </c:pt>
                <c:pt idx="4">
                  <c:v>3415</c:v>
                </c:pt>
                <c:pt idx="5">
                  <c:v>3629</c:v>
                </c:pt>
                <c:pt idx="6">
                  <c:v>3843</c:v>
                </c:pt>
                <c:pt idx="7">
                  <c:v>4057</c:v>
                </c:pt>
                <c:pt idx="8">
                  <c:v>4271</c:v>
                </c:pt>
                <c:pt idx="9">
                  <c:v>3418</c:v>
                </c:pt>
                <c:pt idx="10">
                  <c:v>3632</c:v>
                </c:pt>
                <c:pt idx="11">
                  <c:v>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2-4FC7-9869-44A1ADE6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085871"/>
        <c:axId val="470554607"/>
      </c:barChart>
      <c:catAx>
        <c:axId val="49908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4607"/>
        <c:crosses val="autoZero"/>
        <c:auto val="1"/>
        <c:lblAlgn val="ctr"/>
        <c:lblOffset val="100"/>
        <c:noMultiLvlLbl val="0"/>
      </c:catAx>
      <c:valAx>
        <c:axId val="4705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8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The year, as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Sales!$B$2:$B$13</c:f>
              <c:numCache>
                <c:formatCode>#,##0</c:formatCode>
                <c:ptCount val="12"/>
                <c:pt idx="0">
                  <c:v>1200</c:v>
                </c:pt>
                <c:pt idx="1">
                  <c:v>1414</c:v>
                </c:pt>
                <c:pt idx="2">
                  <c:v>1628</c:v>
                </c:pt>
                <c:pt idx="3">
                  <c:v>1842</c:v>
                </c:pt>
                <c:pt idx="4">
                  <c:v>2056</c:v>
                </c:pt>
                <c:pt idx="5">
                  <c:v>2270</c:v>
                </c:pt>
                <c:pt idx="6">
                  <c:v>2484</c:v>
                </c:pt>
                <c:pt idx="7">
                  <c:v>2698</c:v>
                </c:pt>
                <c:pt idx="8">
                  <c:v>2912</c:v>
                </c:pt>
                <c:pt idx="9">
                  <c:v>3126</c:v>
                </c:pt>
                <c:pt idx="10">
                  <c:v>3340</c:v>
                </c:pt>
                <c:pt idx="11">
                  <c:v>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9-4182-A42B-CC18C7EA7410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Sales!$C$2:$C$13</c:f>
              <c:numCache>
                <c:formatCode>#,##0</c:formatCode>
                <c:ptCount val="12"/>
                <c:pt idx="0">
                  <c:v>1653</c:v>
                </c:pt>
                <c:pt idx="1">
                  <c:v>1867</c:v>
                </c:pt>
                <c:pt idx="2">
                  <c:v>2081</c:v>
                </c:pt>
                <c:pt idx="3">
                  <c:v>2295</c:v>
                </c:pt>
                <c:pt idx="4">
                  <c:v>2509</c:v>
                </c:pt>
                <c:pt idx="5">
                  <c:v>2723</c:v>
                </c:pt>
                <c:pt idx="6">
                  <c:v>2937</c:v>
                </c:pt>
                <c:pt idx="7">
                  <c:v>3151</c:v>
                </c:pt>
                <c:pt idx="8">
                  <c:v>3365</c:v>
                </c:pt>
                <c:pt idx="9">
                  <c:v>3579</c:v>
                </c:pt>
                <c:pt idx="10">
                  <c:v>3793</c:v>
                </c:pt>
                <c:pt idx="11">
                  <c:v>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9-4182-A42B-CC18C7EA7410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Sales!$D$2:$D$13</c:f>
              <c:numCache>
                <c:formatCode>#,##0</c:formatCode>
                <c:ptCount val="12"/>
                <c:pt idx="0">
                  <c:v>2106</c:v>
                </c:pt>
                <c:pt idx="1">
                  <c:v>2320</c:v>
                </c:pt>
                <c:pt idx="2">
                  <c:v>2534</c:v>
                </c:pt>
                <c:pt idx="3">
                  <c:v>2748</c:v>
                </c:pt>
                <c:pt idx="4">
                  <c:v>2962</c:v>
                </c:pt>
                <c:pt idx="5">
                  <c:v>3176</c:v>
                </c:pt>
                <c:pt idx="6">
                  <c:v>3390</c:v>
                </c:pt>
                <c:pt idx="7">
                  <c:v>3604</c:v>
                </c:pt>
                <c:pt idx="8">
                  <c:v>3818</c:v>
                </c:pt>
                <c:pt idx="9">
                  <c:v>4032</c:v>
                </c:pt>
                <c:pt idx="10">
                  <c:v>4246</c:v>
                </c:pt>
                <c:pt idx="11">
                  <c:v>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9-4182-A42B-CC18C7EA7410}"/>
            </c:ext>
          </c:extLst>
        </c:ser>
        <c:ser>
          <c:idx val="3"/>
          <c:order val="3"/>
          <c:tx>
            <c:strRef>
              <c:f>Sales!$E$1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Sales!$E$2:$E$13</c:f>
              <c:numCache>
                <c:formatCode>#,##0</c:formatCode>
                <c:ptCount val="12"/>
                <c:pt idx="0">
                  <c:v>2559</c:v>
                </c:pt>
                <c:pt idx="1">
                  <c:v>2773</c:v>
                </c:pt>
                <c:pt idx="2">
                  <c:v>2987</c:v>
                </c:pt>
                <c:pt idx="3">
                  <c:v>3201</c:v>
                </c:pt>
                <c:pt idx="4">
                  <c:v>3415</c:v>
                </c:pt>
                <c:pt idx="5">
                  <c:v>3629</c:v>
                </c:pt>
                <c:pt idx="6">
                  <c:v>3843</c:v>
                </c:pt>
                <c:pt idx="7">
                  <c:v>4057</c:v>
                </c:pt>
                <c:pt idx="8">
                  <c:v>4271</c:v>
                </c:pt>
                <c:pt idx="9">
                  <c:v>3418</c:v>
                </c:pt>
                <c:pt idx="10">
                  <c:v>3632</c:v>
                </c:pt>
                <c:pt idx="11">
                  <c:v>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D9-4182-A42B-CC18C7EA7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090975"/>
        <c:axId val="470550767"/>
      </c:lineChart>
      <c:catAx>
        <c:axId val="49909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0767"/>
        <c:crosses val="autoZero"/>
        <c:auto val="1"/>
        <c:lblAlgn val="ctr"/>
        <c:lblOffset val="100"/>
        <c:noMultiLvlLbl val="0"/>
      </c:catAx>
      <c:valAx>
        <c:axId val="4705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9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Sales!$F$2:$F$13</c:f>
              <c:numCache>
                <c:formatCode>#,##0</c:formatCode>
                <c:ptCount val="12"/>
                <c:pt idx="0">
                  <c:v>7518</c:v>
                </c:pt>
                <c:pt idx="1">
                  <c:v>8374</c:v>
                </c:pt>
                <c:pt idx="2">
                  <c:v>9230</c:v>
                </c:pt>
                <c:pt idx="3">
                  <c:v>10086</c:v>
                </c:pt>
                <c:pt idx="4">
                  <c:v>10942</c:v>
                </c:pt>
                <c:pt idx="5">
                  <c:v>11798</c:v>
                </c:pt>
                <c:pt idx="6">
                  <c:v>12654</c:v>
                </c:pt>
                <c:pt idx="7">
                  <c:v>13510</c:v>
                </c:pt>
                <c:pt idx="8">
                  <c:v>14366</c:v>
                </c:pt>
                <c:pt idx="9">
                  <c:v>14155</c:v>
                </c:pt>
                <c:pt idx="10">
                  <c:v>15011</c:v>
                </c:pt>
                <c:pt idx="11">
                  <c:v>14800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D-4D09-B5BB-414E799B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098399"/>
        <c:axId val="470552687"/>
      </c:barChart>
      <c:catAx>
        <c:axId val="49909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2687"/>
        <c:crosses val="autoZero"/>
        <c:auto val="1"/>
        <c:lblAlgn val="ctr"/>
        <c:lblOffset val="100"/>
        <c:noMultiLvlLbl val="0"/>
      </c:catAx>
      <c:valAx>
        <c:axId val="47055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9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Stacked, as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Sales!$B$2:$B$13</c:f>
              <c:numCache>
                <c:formatCode>#,##0</c:formatCode>
                <c:ptCount val="12"/>
                <c:pt idx="0">
                  <c:v>1200</c:v>
                </c:pt>
                <c:pt idx="1">
                  <c:v>1414</c:v>
                </c:pt>
                <c:pt idx="2">
                  <c:v>1628</c:v>
                </c:pt>
                <c:pt idx="3">
                  <c:v>1842</c:v>
                </c:pt>
                <c:pt idx="4">
                  <c:v>2056</c:v>
                </c:pt>
                <c:pt idx="5">
                  <c:v>2270</c:v>
                </c:pt>
                <c:pt idx="6">
                  <c:v>2484</c:v>
                </c:pt>
                <c:pt idx="7">
                  <c:v>2698</c:v>
                </c:pt>
                <c:pt idx="8">
                  <c:v>2912</c:v>
                </c:pt>
                <c:pt idx="9">
                  <c:v>3126</c:v>
                </c:pt>
                <c:pt idx="10">
                  <c:v>3340</c:v>
                </c:pt>
                <c:pt idx="11">
                  <c:v>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D-4E3C-BCBF-023A95CA9524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Sales!$C$2:$C$13</c:f>
              <c:numCache>
                <c:formatCode>#,##0</c:formatCode>
                <c:ptCount val="12"/>
                <c:pt idx="0">
                  <c:v>1653</c:v>
                </c:pt>
                <c:pt idx="1">
                  <c:v>1867</c:v>
                </c:pt>
                <c:pt idx="2">
                  <c:v>2081</c:v>
                </c:pt>
                <c:pt idx="3">
                  <c:v>2295</c:v>
                </c:pt>
                <c:pt idx="4">
                  <c:v>2509</c:v>
                </c:pt>
                <c:pt idx="5">
                  <c:v>2723</c:v>
                </c:pt>
                <c:pt idx="6">
                  <c:v>2937</c:v>
                </c:pt>
                <c:pt idx="7">
                  <c:v>3151</c:v>
                </c:pt>
                <c:pt idx="8">
                  <c:v>3365</c:v>
                </c:pt>
                <c:pt idx="9">
                  <c:v>3579</c:v>
                </c:pt>
                <c:pt idx="10">
                  <c:v>3793</c:v>
                </c:pt>
                <c:pt idx="11">
                  <c:v>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D-4E3C-BCBF-023A95CA9524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Sales!$D$2:$D$13</c:f>
              <c:numCache>
                <c:formatCode>#,##0</c:formatCode>
                <c:ptCount val="12"/>
                <c:pt idx="0">
                  <c:v>2106</c:v>
                </c:pt>
                <c:pt idx="1">
                  <c:v>2320</c:v>
                </c:pt>
                <c:pt idx="2">
                  <c:v>2534</c:v>
                </c:pt>
                <c:pt idx="3">
                  <c:v>2748</c:v>
                </c:pt>
                <c:pt idx="4">
                  <c:v>2962</c:v>
                </c:pt>
                <c:pt idx="5">
                  <c:v>3176</c:v>
                </c:pt>
                <c:pt idx="6">
                  <c:v>3390</c:v>
                </c:pt>
                <c:pt idx="7">
                  <c:v>3604</c:v>
                </c:pt>
                <c:pt idx="8">
                  <c:v>3818</c:v>
                </c:pt>
                <c:pt idx="9">
                  <c:v>4032</c:v>
                </c:pt>
                <c:pt idx="10">
                  <c:v>4246</c:v>
                </c:pt>
                <c:pt idx="11">
                  <c:v>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D-4E3C-BCBF-023A95CA9524}"/>
            </c:ext>
          </c:extLst>
        </c:ser>
        <c:ser>
          <c:idx val="3"/>
          <c:order val="3"/>
          <c:tx>
            <c:strRef>
              <c:f>Sales!$E$1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Sales!$E$2:$E$13</c:f>
              <c:numCache>
                <c:formatCode>#,##0</c:formatCode>
                <c:ptCount val="12"/>
                <c:pt idx="0">
                  <c:v>2559</c:v>
                </c:pt>
                <c:pt idx="1">
                  <c:v>2773</c:v>
                </c:pt>
                <c:pt idx="2">
                  <c:v>2987</c:v>
                </c:pt>
                <c:pt idx="3">
                  <c:v>3201</c:v>
                </c:pt>
                <c:pt idx="4">
                  <c:v>3415</c:v>
                </c:pt>
                <c:pt idx="5">
                  <c:v>3629</c:v>
                </c:pt>
                <c:pt idx="6">
                  <c:v>3843</c:v>
                </c:pt>
                <c:pt idx="7">
                  <c:v>4057</c:v>
                </c:pt>
                <c:pt idx="8">
                  <c:v>4271</c:v>
                </c:pt>
                <c:pt idx="9">
                  <c:v>3418</c:v>
                </c:pt>
                <c:pt idx="10">
                  <c:v>3632</c:v>
                </c:pt>
                <c:pt idx="11">
                  <c:v>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D-4E3C-BCBF-023A95CA9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100719"/>
        <c:axId val="470543567"/>
      </c:areaChart>
      <c:catAx>
        <c:axId val="499100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43567"/>
        <c:crosses val="autoZero"/>
        <c:auto val="1"/>
        <c:lblAlgn val="ctr"/>
        <c:lblOffset val="100"/>
        <c:noMultiLvlLbl val="0"/>
      </c:catAx>
      <c:valAx>
        <c:axId val="4705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0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7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purl.oclc.org/ooxml/officeDocument/relationships/chart" Target="../charts/chart4.xml"/><Relationship Id="rId2" Type="http://purl.oclc.org/ooxml/officeDocument/relationships/chart" Target="../charts/chart3.xml"/><Relationship Id="rId1" Type="http://purl.oclc.org/ooxml/officeDocument/relationships/chart" Target="../charts/chart2.xml"/><Relationship Id="rId5" Type="http://purl.oclc.org/ooxml/officeDocument/relationships/image" Target="../media/image1.png"/><Relationship Id="rId4" Type="http://purl.oclc.org/ooxml/officeDocument/relationships/chart" Target="../charts/chart5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141514</xdr:colOff>
          <xdr:row>0</xdr:row>
          <xdr:rowOff>16329</xdr:rowOff>
        </xdr:from>
        <xdr:to>
          <xdr:col>2</xdr:col>
          <xdr:colOff>729343</xdr:colOff>
          <xdr:row>4</xdr:row>
          <xdr:rowOff>5443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364850BC-5F04-F44C-8E8F-A4F05672D6F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39586" y="16329"/>
              <a:ext cx="1415143" cy="729342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Months of the year 2026-09-10 01:45 - a plain note, not a threaded comment.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304800</xdr:colOff>
      <xdr:row>1</xdr:row>
      <xdr:rowOff>76200</xdr:rowOff>
    </xdr:from>
    <xdr:to>
      <xdr:col>10</xdr:col>
      <xdr:colOff>355600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8375C-22F7-B739-EC30-7E82C80C5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0</xdr:col>
      <xdr:colOff>127000</xdr:colOff>
      <xdr:row>0</xdr:row>
      <xdr:rowOff>127000</xdr:rowOff>
    </xdr:from>
    <xdr:to>
      <xdr:col>8</xdr:col>
      <xdr:colOff>584200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C8F38-0FBD-11A6-2F80-234CE567E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9</xdr:col>
      <xdr:colOff>101600</xdr:colOff>
      <xdr:row>0</xdr:row>
      <xdr:rowOff>127000</xdr:rowOff>
    </xdr:from>
    <xdr:to>
      <xdr:col>17</xdr:col>
      <xdr:colOff>558800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B20EC9-77D2-A1EA-FDE0-8D97D581D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127000</xdr:colOff>
      <xdr:row>17</xdr:row>
      <xdr:rowOff>63500</xdr:rowOff>
    </xdr:from>
    <xdr:to>
      <xdr:col>8</xdr:col>
      <xdr:colOff>584200</xdr:colOff>
      <xdr:row>33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B07255-A3EF-9988-C1AC-2DBF4AD1A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9</xdr:col>
      <xdr:colOff>101600</xdr:colOff>
      <xdr:row>17</xdr:row>
      <xdr:rowOff>63500</xdr:rowOff>
    </xdr:from>
    <xdr:to>
      <xdr:col>17</xdr:col>
      <xdr:colOff>558800</xdr:colOff>
      <xdr:row>33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FDB498-DB30-1015-E245-95E8318BA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0</xdr:col>
      <xdr:colOff>127000</xdr:colOff>
      <xdr:row>34</xdr:row>
      <xdr:rowOff>127000</xdr:rowOff>
    </xdr:from>
    <xdr:to>
      <xdr:col>2</xdr:col>
      <xdr:colOff>431800</xdr:colOff>
      <xdr:row>40</xdr:row>
      <xdr:rowOff>0</xdr:rowOff>
    </xdr:to>
    <xdr:sp macro="" textlink="">
      <xdr:nvSpPr>
        <xdr:cNvPr id="6" name="Shape Rectangle">
          <a:extLst>
            <a:ext uri="{FF2B5EF4-FFF2-40B4-BE49-F238E27FC236}">
              <a16:creationId xmlns:a16="http://schemas.microsoft.com/office/drawing/2014/main" id="{D4213FA3-1F31-6E1E-E690-3F65482FE187}"/>
            </a:ext>
          </a:extLst>
        </xdr:cNvPr>
        <xdr:cNvSpPr/>
      </xdr:nvSpPr>
      <xdr:spPr>
        <a:xfrm>
          <a:off x="127000" y="6604000"/>
          <a:ext cx="1524000" cy="1016000"/>
        </a:xfrm>
        <a:prstGeom prst="rect">
          <a:avLst/>
        </a:prstGeom>
        <a:solidFill>
          <a:srgbClr val="C0000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Rectangle</a:t>
          </a:r>
        </a:p>
      </xdr:txBody>
    </xdr:sp>
    <xdr:clientData/>
  </xdr:twoCellAnchor>
  <xdr:twoCellAnchor>
    <xdr:from>
      <xdr:col>3</xdr:col>
      <xdr:colOff>139700</xdr:colOff>
      <xdr:row>34</xdr:row>
      <xdr:rowOff>127000</xdr:rowOff>
    </xdr:from>
    <xdr:to>
      <xdr:col>5</xdr:col>
      <xdr:colOff>444500</xdr:colOff>
      <xdr:row>40</xdr:row>
      <xdr:rowOff>0</xdr:rowOff>
    </xdr:to>
    <xdr:sp macro="" textlink="">
      <xdr:nvSpPr>
        <xdr:cNvPr id="7" name="Shape Rounded">
          <a:extLst>
            <a:ext uri="{FF2B5EF4-FFF2-40B4-BE49-F238E27FC236}">
              <a16:creationId xmlns:a16="http://schemas.microsoft.com/office/drawing/2014/main" id="{3880594A-CBAC-A78A-D292-74FC9FB740C9}"/>
            </a:ext>
          </a:extLst>
        </xdr:cNvPr>
        <xdr:cNvSpPr/>
      </xdr:nvSpPr>
      <xdr:spPr>
        <a:xfrm>
          <a:off x="1968500" y="6604000"/>
          <a:ext cx="1524000" cy="1016000"/>
        </a:xfrm>
        <a:prstGeom prst="roundRect">
          <a:avLst/>
        </a:prstGeom>
        <a:gradFill flip="none" rotWithShape="1">
          <a:gsLst>
            <a:gs pos="0%">
              <a:srgbClr val="ED7D31"/>
            </a:gs>
            <a:gs pos="100%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Rounded</a:t>
          </a:r>
        </a:p>
      </xdr:txBody>
    </xdr:sp>
    <xdr:clientData/>
  </xdr:twoCellAnchor>
  <xdr:twoCellAnchor>
    <xdr:from>
      <xdr:col>6</xdr:col>
      <xdr:colOff>152400</xdr:colOff>
      <xdr:row>34</xdr:row>
      <xdr:rowOff>127000</xdr:rowOff>
    </xdr:from>
    <xdr:to>
      <xdr:col>8</xdr:col>
      <xdr:colOff>457200</xdr:colOff>
      <xdr:row>40</xdr:row>
      <xdr:rowOff>0</xdr:rowOff>
    </xdr:to>
    <xdr:sp macro="" textlink="">
      <xdr:nvSpPr>
        <xdr:cNvPr id="8" name="Shape Oval">
          <a:extLst>
            <a:ext uri="{FF2B5EF4-FFF2-40B4-BE49-F238E27FC236}">
              <a16:creationId xmlns:a16="http://schemas.microsoft.com/office/drawing/2014/main" id="{C07A2DD5-4833-10FB-9A9A-5B851F8EF487}"/>
            </a:ext>
          </a:extLst>
        </xdr:cNvPr>
        <xdr:cNvSpPr/>
      </xdr:nvSpPr>
      <xdr:spPr>
        <a:xfrm>
          <a:off x="3810000" y="6604000"/>
          <a:ext cx="1524000" cy="1016000"/>
        </a:xfrm>
        <a:prstGeom prst="ellipse">
          <a:avLst/>
        </a:prstGeom>
        <a:solidFill>
          <a:srgbClr val="FFC00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Oval</a:t>
          </a:r>
        </a:p>
      </xdr:txBody>
    </xdr:sp>
    <xdr:clientData/>
  </xdr:twoCellAnchor>
  <xdr:twoCellAnchor>
    <xdr:from>
      <xdr:col>9</xdr:col>
      <xdr:colOff>165100</xdr:colOff>
      <xdr:row>34</xdr:row>
      <xdr:rowOff>127000</xdr:rowOff>
    </xdr:from>
    <xdr:to>
      <xdr:col>11</xdr:col>
      <xdr:colOff>469900</xdr:colOff>
      <xdr:row>40</xdr:row>
      <xdr:rowOff>0</xdr:rowOff>
    </xdr:to>
    <xdr:sp macro="" textlink="">
      <xdr:nvSpPr>
        <xdr:cNvPr id="9" name="Shape Triangle">
          <a:extLst>
            <a:ext uri="{FF2B5EF4-FFF2-40B4-BE49-F238E27FC236}">
              <a16:creationId xmlns:a16="http://schemas.microsoft.com/office/drawing/2014/main" id="{4DCEC3A7-810D-2550-23E3-705D2958D3D3}"/>
            </a:ext>
          </a:extLst>
        </xdr:cNvPr>
        <xdr:cNvSpPr/>
      </xdr:nvSpPr>
      <xdr:spPr>
        <a:xfrm>
          <a:off x="5651500" y="6604000"/>
          <a:ext cx="1524000" cy="1016000"/>
        </a:xfrm>
        <a:prstGeom prst="triangle">
          <a:avLst/>
        </a:prstGeom>
        <a:solidFill>
          <a:srgbClr val="70AD47"/>
        </a:solidFill>
        <a:ln w="19050">
          <a:solidFill>
            <a:srgbClr val="282828"/>
          </a:solidFill>
        </a:ln>
        <a:effectLst>
          <a:outerShdw blurRad="63500" dist="37357" dir="2700000" rotWithShape="0">
            <a:scrgbClr r="0%" g="0%" b="0%"/>
          </a:outerShdw>
        </a:effectLst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Triangle</a:t>
          </a:r>
        </a:p>
      </xdr:txBody>
    </xdr:sp>
    <xdr:clientData/>
  </xdr:twoCellAnchor>
  <xdr:twoCellAnchor>
    <xdr:from>
      <xdr:col>12</xdr:col>
      <xdr:colOff>177800</xdr:colOff>
      <xdr:row>34</xdr:row>
      <xdr:rowOff>127000</xdr:rowOff>
    </xdr:from>
    <xdr:to>
      <xdr:col>14</xdr:col>
      <xdr:colOff>482600</xdr:colOff>
      <xdr:row>40</xdr:row>
      <xdr:rowOff>0</xdr:rowOff>
    </xdr:to>
    <xdr:sp macro="" textlink="">
      <xdr:nvSpPr>
        <xdr:cNvPr id="10" name="Shape Star">
          <a:extLst>
            <a:ext uri="{FF2B5EF4-FFF2-40B4-BE49-F238E27FC236}">
              <a16:creationId xmlns:a16="http://schemas.microsoft.com/office/drawing/2014/main" id="{407F3A8C-9352-6A4C-CF1E-FD73DD304824}"/>
            </a:ext>
          </a:extLst>
        </xdr:cNvPr>
        <xdr:cNvSpPr/>
      </xdr:nvSpPr>
      <xdr:spPr>
        <a:xfrm>
          <a:off x="7493000" y="6604000"/>
          <a:ext cx="1524000" cy="1016000"/>
        </a:xfrm>
        <a:prstGeom prst="star5">
          <a:avLst/>
        </a:prstGeom>
        <a:gradFill flip="none" rotWithShape="1">
          <a:gsLst>
            <a:gs pos="0%">
              <a:srgbClr val="4472C4"/>
            </a:gs>
            <a:gs pos="100%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Star</a:t>
          </a:r>
        </a:p>
      </xdr:txBody>
    </xdr:sp>
    <xdr:clientData/>
  </xdr:twoCellAnchor>
  <xdr:twoCellAnchor>
    <xdr:from>
      <xdr:col>15</xdr:col>
      <xdr:colOff>190500</xdr:colOff>
      <xdr:row>34</xdr:row>
      <xdr:rowOff>127000</xdr:rowOff>
    </xdr:from>
    <xdr:to>
      <xdr:col>17</xdr:col>
      <xdr:colOff>495300</xdr:colOff>
      <xdr:row>40</xdr:row>
      <xdr:rowOff>0</xdr:rowOff>
    </xdr:to>
    <xdr:sp macro="" textlink="">
      <xdr:nvSpPr>
        <xdr:cNvPr id="11" name="Shape Arrow">
          <a:extLst>
            <a:ext uri="{FF2B5EF4-FFF2-40B4-BE49-F238E27FC236}">
              <a16:creationId xmlns:a16="http://schemas.microsoft.com/office/drawing/2014/main" id="{415E4135-6CD6-6979-E1E4-AA82794AE4F9}"/>
            </a:ext>
          </a:extLst>
        </xdr:cNvPr>
        <xdr:cNvSpPr/>
      </xdr:nvSpPr>
      <xdr:spPr>
        <a:xfrm>
          <a:off x="9334500" y="6604000"/>
          <a:ext cx="1524000" cy="1016000"/>
        </a:xfrm>
        <a:prstGeom prst="rightArrow">
          <a:avLst/>
        </a:prstGeom>
        <a:solidFill>
          <a:srgbClr val="7030A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Arrow</a:t>
          </a:r>
        </a:p>
      </xdr:txBody>
    </xdr:sp>
    <xdr:clientData/>
  </xdr:twoCellAnchor>
  <xdr:twoCellAnchor>
    <xdr:from>
      <xdr:col>0</xdr:col>
      <xdr:colOff>127000</xdr:colOff>
      <xdr:row>42</xdr:row>
      <xdr:rowOff>0</xdr:rowOff>
    </xdr:from>
    <xdr:to>
      <xdr:col>2</xdr:col>
      <xdr:colOff>431800</xdr:colOff>
      <xdr:row>47</xdr:row>
      <xdr:rowOff>63500</xdr:rowOff>
    </xdr:to>
    <xdr:sp macro="" textlink="">
      <xdr:nvSpPr>
        <xdr:cNvPr id="12" name="Shape Chevron">
          <a:extLst>
            <a:ext uri="{FF2B5EF4-FFF2-40B4-BE49-F238E27FC236}">
              <a16:creationId xmlns:a16="http://schemas.microsoft.com/office/drawing/2014/main" id="{3C788B3A-0787-32A9-372A-6D0ED7E0A9B6}"/>
            </a:ext>
          </a:extLst>
        </xdr:cNvPr>
        <xdr:cNvSpPr/>
      </xdr:nvSpPr>
      <xdr:spPr>
        <a:xfrm>
          <a:off x="127000" y="8001000"/>
          <a:ext cx="1524000" cy="1016000"/>
        </a:xfrm>
        <a:prstGeom prst="chevron">
          <a:avLst/>
        </a:prstGeom>
        <a:solidFill>
          <a:srgbClr val="00B0F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Chevron</a:t>
          </a:r>
        </a:p>
      </xdr:txBody>
    </xdr:sp>
    <xdr:clientData/>
  </xdr:twoCellAnchor>
  <xdr:twoCellAnchor>
    <xdr:from>
      <xdr:col>3</xdr:col>
      <xdr:colOff>139700</xdr:colOff>
      <xdr:row>42</xdr:row>
      <xdr:rowOff>0</xdr:rowOff>
    </xdr:from>
    <xdr:to>
      <xdr:col>5</xdr:col>
      <xdr:colOff>444500</xdr:colOff>
      <xdr:row>47</xdr:row>
      <xdr:rowOff>63500</xdr:rowOff>
    </xdr:to>
    <xdr:sp macro="" textlink="">
      <xdr:nvSpPr>
        <xdr:cNvPr id="13" name="Shape Hexagon">
          <a:extLst>
            <a:ext uri="{FF2B5EF4-FFF2-40B4-BE49-F238E27FC236}">
              <a16:creationId xmlns:a16="http://schemas.microsoft.com/office/drawing/2014/main" id="{EF1B54B8-4953-80D2-2FC0-440DE72D94F0}"/>
            </a:ext>
          </a:extLst>
        </xdr:cNvPr>
        <xdr:cNvSpPr/>
      </xdr:nvSpPr>
      <xdr:spPr>
        <a:xfrm>
          <a:off x="1968500" y="8001000"/>
          <a:ext cx="1524000" cy="1016000"/>
        </a:xfrm>
        <a:prstGeom prst="hexagon">
          <a:avLst/>
        </a:prstGeom>
        <a:gradFill flip="none" rotWithShape="1">
          <a:gsLst>
            <a:gs pos="0%">
              <a:srgbClr val="FF0066"/>
            </a:gs>
            <a:gs pos="100%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  <a:effectLst>
          <a:outerShdw blurRad="63500" dist="37357" dir="2700000" rotWithShape="0">
            <a:scrgbClr r="0%" g="0%" b="0%"/>
          </a:outerShdw>
        </a:effectLst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Hexagon</a:t>
          </a:r>
        </a:p>
      </xdr:txBody>
    </xdr:sp>
    <xdr:clientData/>
  </xdr:twoCellAnchor>
  <xdr:twoCellAnchor>
    <xdr:from>
      <xdr:col>6</xdr:col>
      <xdr:colOff>152400</xdr:colOff>
      <xdr:row>42</xdr:row>
      <xdr:rowOff>0</xdr:rowOff>
    </xdr:from>
    <xdr:to>
      <xdr:col>8</xdr:col>
      <xdr:colOff>457200</xdr:colOff>
      <xdr:row>47</xdr:row>
      <xdr:rowOff>63500</xdr:rowOff>
    </xdr:to>
    <xdr:sp macro="" textlink="">
      <xdr:nvSpPr>
        <xdr:cNvPr id="14" name="Shape Heart">
          <a:extLst>
            <a:ext uri="{FF2B5EF4-FFF2-40B4-BE49-F238E27FC236}">
              <a16:creationId xmlns:a16="http://schemas.microsoft.com/office/drawing/2014/main" id="{E3BB29AA-B5B1-480B-75D8-0F6A1FC46A1B}"/>
            </a:ext>
          </a:extLst>
        </xdr:cNvPr>
        <xdr:cNvSpPr/>
      </xdr:nvSpPr>
      <xdr:spPr>
        <a:xfrm>
          <a:off x="3810000" y="8001000"/>
          <a:ext cx="1524000" cy="1016000"/>
        </a:xfrm>
        <a:prstGeom prst="heart">
          <a:avLst/>
        </a:prstGeom>
        <a:solidFill>
          <a:srgbClr val="00808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Heart</a:t>
          </a:r>
        </a:p>
      </xdr:txBody>
    </xdr:sp>
    <xdr:clientData/>
  </xdr:twoCellAnchor>
  <xdr:twoCellAnchor>
    <xdr:from>
      <xdr:col>9</xdr:col>
      <xdr:colOff>165100</xdr:colOff>
      <xdr:row>42</xdr:row>
      <xdr:rowOff>0</xdr:rowOff>
    </xdr:from>
    <xdr:to>
      <xdr:col>11</xdr:col>
      <xdr:colOff>469900</xdr:colOff>
      <xdr:row>47</xdr:row>
      <xdr:rowOff>63500</xdr:rowOff>
    </xdr:to>
    <xdr:sp macro="" textlink="">
      <xdr:nvSpPr>
        <xdr:cNvPr id="15" name="Shape Smile">
          <a:extLst>
            <a:ext uri="{FF2B5EF4-FFF2-40B4-BE49-F238E27FC236}">
              <a16:creationId xmlns:a16="http://schemas.microsoft.com/office/drawing/2014/main" id="{E295D737-606D-35C6-2218-2E29686E7F66}"/>
            </a:ext>
          </a:extLst>
        </xdr:cNvPr>
        <xdr:cNvSpPr/>
      </xdr:nvSpPr>
      <xdr:spPr>
        <a:xfrm>
          <a:off x="5651500" y="8001000"/>
          <a:ext cx="1524000" cy="1016000"/>
        </a:xfrm>
        <a:prstGeom prst="smileyFace">
          <a:avLst/>
        </a:prstGeom>
        <a:solidFill>
          <a:srgbClr val="80600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Smile</a:t>
          </a:r>
        </a:p>
      </xdr:txBody>
    </xdr:sp>
    <xdr:clientData/>
  </xdr:twoCellAnchor>
  <xdr:twoCellAnchor>
    <xdr:from>
      <xdr:col>12</xdr:col>
      <xdr:colOff>177800</xdr:colOff>
      <xdr:row>42</xdr:row>
      <xdr:rowOff>0</xdr:rowOff>
    </xdr:from>
    <xdr:to>
      <xdr:col>14</xdr:col>
      <xdr:colOff>482600</xdr:colOff>
      <xdr:row>47</xdr:row>
      <xdr:rowOff>63500</xdr:rowOff>
    </xdr:to>
    <xdr:sp macro="" textlink="">
      <xdr:nvSpPr>
        <xdr:cNvPr id="16" name="Shape Process">
          <a:extLst>
            <a:ext uri="{FF2B5EF4-FFF2-40B4-BE49-F238E27FC236}">
              <a16:creationId xmlns:a16="http://schemas.microsoft.com/office/drawing/2014/main" id="{3E7614A1-A26D-A8F7-0913-C8133BDDE36C}"/>
            </a:ext>
          </a:extLst>
        </xdr:cNvPr>
        <xdr:cNvSpPr/>
      </xdr:nvSpPr>
      <xdr:spPr>
        <a:xfrm>
          <a:off x="7493000" y="8001000"/>
          <a:ext cx="1524000" cy="1016000"/>
        </a:xfrm>
        <a:prstGeom prst="flowChartProcess">
          <a:avLst/>
        </a:prstGeom>
        <a:gradFill flip="none" rotWithShape="1">
          <a:gsLst>
            <a:gs pos="0%">
              <a:srgbClr val="5B9BD5"/>
            </a:gs>
            <a:gs pos="100%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Process</a:t>
          </a:r>
        </a:p>
      </xdr:txBody>
    </xdr:sp>
    <xdr:clientData/>
  </xdr:twoCellAnchor>
  <xdr:twoCellAnchor>
    <xdr:from>
      <xdr:col>15</xdr:col>
      <xdr:colOff>190500</xdr:colOff>
      <xdr:row>42</xdr:row>
      <xdr:rowOff>0</xdr:rowOff>
    </xdr:from>
    <xdr:to>
      <xdr:col>17</xdr:col>
      <xdr:colOff>495300</xdr:colOff>
      <xdr:row>47</xdr:row>
      <xdr:rowOff>63500</xdr:rowOff>
    </xdr:to>
    <xdr:sp macro="" textlink="">
      <xdr:nvSpPr>
        <xdr:cNvPr id="17" name="Shape Callout">
          <a:extLst>
            <a:ext uri="{FF2B5EF4-FFF2-40B4-BE49-F238E27FC236}">
              <a16:creationId xmlns:a16="http://schemas.microsoft.com/office/drawing/2014/main" id="{C267F29C-E5B5-B8DA-3E63-7A6ED30CB357}"/>
            </a:ext>
          </a:extLst>
        </xdr:cNvPr>
        <xdr:cNvSpPr/>
      </xdr:nvSpPr>
      <xdr:spPr>
        <a:xfrm>
          <a:off x="9334500" y="8001000"/>
          <a:ext cx="1524000" cy="1016000"/>
        </a:xfrm>
        <a:prstGeom prst="wedgeRectCallout">
          <a:avLst/>
        </a:prstGeom>
        <a:solidFill>
          <a:srgbClr val="A5A5A5"/>
        </a:solidFill>
        <a:ln w="19050">
          <a:solidFill>
            <a:srgbClr val="282828"/>
          </a:solidFill>
        </a:ln>
        <a:effectLst>
          <a:outerShdw blurRad="63500" dist="37357" dir="2700000" rotWithShape="0">
            <a:scrgbClr r="0%" g="0%" b="0%"/>
          </a:outerShdw>
        </a:effectLst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Callout</a:t>
          </a:r>
        </a:p>
      </xdr:txBody>
    </xdr:sp>
    <xdr:clientData/>
  </xdr:twoCellAnchor>
  <xdr:twoCellAnchor editAs="oneCell">
    <xdr:from>
      <xdr:col>0</xdr:col>
      <xdr:colOff>127000</xdr:colOff>
      <xdr:row>50</xdr:row>
      <xdr:rowOff>0</xdr:rowOff>
    </xdr:from>
    <xdr:to>
      <xdr:col>5</xdr:col>
      <xdr:colOff>127000</xdr:colOff>
      <xdr:row>60</xdr:row>
      <xdr:rowOff>127000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0E761AA-D695-F632-EA61-77B6A7AC83B1}"/>
            </a:ext>
          </a:extLst>
        </xdr:cNvPr>
        <xdr:cNvPicPr>
          <a:picLocks/>
        </xdr:cNvPicPr>
      </xdr:nvPicPr>
      <xdr:blipFill>
        <a:blip xmlns:r="http://purl.oclc.org/ooxml/officeDocument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9525000"/>
          <a:ext cx="3048000" cy="2032000"/>
        </a:xfrm>
        <a:prstGeom prst="rect">
          <a:avLst/>
        </a:prstGeom>
      </xdr:spPr>
    </xdr:pic>
    <xdr:clientData/>
  </xdr:twoCellAnchor>
  <xdr:twoCellAnchor>
    <xdr:from>
      <xdr:col>5</xdr:col>
      <xdr:colOff>381000</xdr:colOff>
      <xdr:row>50</xdr:row>
      <xdr:rowOff>0</xdr:rowOff>
    </xdr:from>
    <xdr:to>
      <xdr:col>11</xdr:col>
      <xdr:colOff>533400</xdr:colOff>
      <xdr:row>60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C1CCB82-D84B-91F5-DE00-CF6DD280788D}"/>
            </a:ext>
          </a:extLst>
        </xdr:cNvPr>
        <xdr:cNvSpPr txBox="1"/>
      </xdr:nvSpPr>
      <xdr:spPr>
        <a:xfrm>
          <a:off x="3429000" y="9525000"/>
          <a:ext cx="3810000" cy="2032000"/>
        </a:xfrm>
        <a:prstGeom prst="rect">
          <a:avLst/>
        </a:prstGeom>
        <a:solidFill>
          <a:srgbClr val="FFF2CC"/>
        </a:solidFill>
        <a:ln w="9525" cmpd="sng">
          <a:solidFill>
            <a:srgbClr val="BF8F00"/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 text box beside the picture.</a:t>
          </a:r>
        </a:p>
        <a:p>
          <a:r>
            <a:rPr lang="en-GB" sz="1100">
              <a:solidFill>
                <a:srgbClr val="C00000"/>
              </a:solidFill>
            </a:rPr>
            <a:t>Second line, in colour.</a:t>
          </a:r>
        </a:p>
        <a:p>
          <a:r>
            <a:rPr lang="en-GB" sz="1100" b="1"/>
            <a:t>Third line, bold.</a:t>
          </a:r>
        </a:p>
      </xdr:txBody>
    </xdr:sp>
    <xdr:clientData/>
  </xdr:twoCellAnchor>
  <xdr:twoCellAnchor>
    <xdr:from>
      <xdr:col>12</xdr:col>
      <xdr:colOff>304800</xdr:colOff>
      <xdr:row>50</xdr:row>
      <xdr:rowOff>127000</xdr:rowOff>
    </xdr:from>
    <xdr:to>
      <xdr:col>14</xdr:col>
      <xdr:colOff>355600</xdr:colOff>
      <xdr:row>57</xdr:row>
      <xdr:rowOff>63500</xdr:rowOff>
    </xdr:to>
    <xdr:grpSp>
      <xdr:nvGrpSpPr>
        <xdr:cNvPr id="23" name="Two circles">
          <a:extLst>
            <a:ext uri="{FF2B5EF4-FFF2-40B4-BE49-F238E27FC236}">
              <a16:creationId xmlns:a16="http://schemas.microsoft.com/office/drawing/2014/main" id="{932C5D9A-7E5E-5E4F-94CF-1BA5CE34D847}"/>
            </a:ext>
          </a:extLst>
        </xdr:cNvPr>
        <xdr:cNvGrpSpPr/>
      </xdr:nvGrpSpPr>
      <xdr:grpSpPr>
        <a:xfrm>
          <a:off x="8142514" y="9379857"/>
          <a:ext cx="1357086" cy="1231900"/>
          <a:chOff x="7620000" y="9652000"/>
          <a:chExt cx="1270000" cy="1270000"/>
        </a:xfrm>
      </xdr:grpSpPr>
      <xdr:sp macro="" textlink="">
        <xdr:nvSpPr>
          <xdr:cNvPr id="21" name="GroupA">
            <a:extLst>
              <a:ext uri="{FF2B5EF4-FFF2-40B4-BE49-F238E27FC236}">
                <a16:creationId xmlns:a16="http://schemas.microsoft.com/office/drawing/2014/main" id="{A35957F4-EB9E-1E49-A086-5F2D55DE8926}"/>
              </a:ext>
            </a:extLst>
          </xdr:cNvPr>
          <xdr:cNvSpPr/>
        </xdr:nvSpPr>
        <xdr:spPr>
          <a:xfrm>
            <a:off x="7620000" y="9652000"/>
            <a:ext cx="762000" cy="762000"/>
          </a:xfrm>
          <a:prstGeom prst="ellipse">
            <a:avLst/>
          </a:prstGeom>
          <a:solidFill>
            <a:srgbClr val="4472C4"/>
          </a:solidFill>
        </xdr:spPr>
        <xdr:style>
          <a:lnRef idx="2">
            <a:schemeClr val="accent1">
              <a:shade val="15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2" name="GroupB">
            <a:extLst>
              <a:ext uri="{FF2B5EF4-FFF2-40B4-BE49-F238E27FC236}">
                <a16:creationId xmlns:a16="http://schemas.microsoft.com/office/drawing/2014/main" id="{C17D404B-E980-879E-AC75-D6890CA44766}"/>
              </a:ext>
            </a:extLst>
          </xdr:cNvPr>
          <xdr:cNvSpPr/>
        </xdr:nvSpPr>
        <xdr:spPr>
          <a:xfrm>
            <a:off x="8128000" y="10160000"/>
            <a:ext cx="762000" cy="762000"/>
          </a:xfrm>
          <a:prstGeom prst="ellipse">
            <a:avLst/>
          </a:prstGeom>
          <a:solidFill>
            <a:srgbClr val="ED7D31"/>
          </a:solidFill>
        </xdr:spPr>
        <xdr:style>
          <a:lnRef idx="2">
            <a:schemeClr val="accent1">
              <a:shade val="15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15</xdr:col>
      <xdr:colOff>254000</xdr:colOff>
      <xdr:row>50</xdr:row>
      <xdr:rowOff>127000</xdr:rowOff>
    </xdr:from>
    <xdr:to>
      <xdr:col>17</xdr:col>
      <xdr:colOff>304800</xdr:colOff>
      <xdr:row>54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6B9A6A8-E288-07EB-5021-28BAB2865C0C}"/>
            </a:ext>
          </a:extLst>
        </xdr:cNvPr>
        <xdr:cNvSpPr/>
      </xdr:nvSpPr>
      <xdr:spPr>
        <a:xfrm rot="1800000">
          <a:off x="9398000" y="9652000"/>
          <a:ext cx="1270000" cy="635000"/>
        </a:xfrm>
        <a:prstGeom prst="rect">
          <a:avLst/>
        </a:prstGeom>
        <a:solidFill>
          <a:srgbClr val="70AD47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Rotated</a:t>
          </a:r>
        </a:p>
      </xdr:txBody>
    </xdr:sp>
    <xdr:clientData/>
  </xdr:twoCellAnchor>
  <xdr:twoCellAnchor>
    <xdr:from>
      <xdr:col>2</xdr:col>
      <xdr:colOff>431800</xdr:colOff>
      <xdr:row>37</xdr:row>
      <xdr:rowOff>63500</xdr:rowOff>
    </xdr:from>
    <xdr:to>
      <xdr:col>3</xdr:col>
      <xdr:colOff>139700</xdr:colOff>
      <xdr:row>37</xdr:row>
      <xdr:rowOff>63500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3E972999-389C-E4C9-3F9C-67198CBAFF7B}"/>
            </a:ext>
          </a:extLst>
        </xdr:cNvPr>
        <xdr:cNvCxnSpPr/>
      </xdr:nvCxnSpPr>
      <xdr:spPr>
        <a:xfrm>
          <a:off x="1651000" y="7112000"/>
          <a:ext cx="317500" cy="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BB0EBC31-8076-437B-8D10-142DA7CAD925}" name="Orders" displayName="Orders" ref="A1:D8" totalsRowCount="1">
  <autoFilter ref="A1:D7" xr:uid="{BB0EBC31-8076-437B-8D10-142DA7CAD925}"/>
  <tableColumns count="4">
    <tableColumn id="1" xr3:uid="{E74ABB1D-693C-4614-ACF7-5033695390AB}" name="Product" totalsRowLabel="Total"/>
    <tableColumn id="2" xr3:uid="{A72D07AC-916F-409F-B0EB-06C00AD6BE83}" name="Quantity"/>
    <tableColumn id="3" xr3:uid="{7B7FEC4C-048D-497C-B7A6-45CEF7D93C72}" name="Price" dataDxfId="1"/>
    <tableColumn id="4" xr3:uid="{89F2806E-0B2A-4A9F-B304-4DFE9B694288}" name="Amount" totalsRowFunction="sum" dataDxfId="0">
      <calculatedColumnFormula>B2*C2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hyperlink" Target="https://office.rutba.io/" TargetMode="External"/><Relationship Id="rId4" Type="http://purl.oclc.org/ooxml/officeDocument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3880-9E53-4CB2-A790-6D78A59019D2}">
  <dimension ref="A1:H2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6" x14ac:dyDescent="0.4"/>
  <cols>
    <col min="1" max="1" width="12.69140625" customWidth="1"/>
    <col min="2" max="8" width="11.69140625" customWidth="1"/>
  </cols>
  <sheetData>
    <row r="1" spans="1:8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4">
      <c r="A2" s="5" t="s">
        <v>8</v>
      </c>
      <c r="B2" s="6">
        <v>1200</v>
      </c>
      <c r="C2" s="6">
        <v>1653</v>
      </c>
      <c r="D2" s="6">
        <v>2106</v>
      </c>
      <c r="E2" s="6">
        <v>2559</v>
      </c>
      <c r="F2" s="13">
        <f t="shared" ref="F2:F13" si="0">SUM(B2:E2)</f>
        <v>7518</v>
      </c>
      <c r="G2" s="5"/>
      <c r="H2" s="5"/>
    </row>
    <row r="3" spans="1:8" x14ac:dyDescent="0.4">
      <c r="A3" s="5" t="s">
        <v>9</v>
      </c>
      <c r="B3" s="6">
        <v>1414</v>
      </c>
      <c r="C3" s="6">
        <v>1867</v>
      </c>
      <c r="D3" s="6">
        <v>2320</v>
      </c>
      <c r="E3" s="6">
        <v>2773</v>
      </c>
      <c r="F3" s="13">
        <f t="shared" si="0"/>
        <v>8374</v>
      </c>
      <c r="G3" s="5"/>
      <c r="H3" s="7">
        <f t="shared" ref="H3:H13" si="1">IFERROR((F3-F2)/F2,0)</f>
        <v>0.11386006916733174</v>
      </c>
    </row>
    <row r="4" spans="1:8" x14ac:dyDescent="0.4">
      <c r="A4" s="5" t="s">
        <v>10</v>
      </c>
      <c r="B4" s="6">
        <v>1628</v>
      </c>
      <c r="C4" s="6">
        <v>2081</v>
      </c>
      <c r="D4" s="6">
        <v>2534</v>
      </c>
      <c r="E4" s="6">
        <v>2987</v>
      </c>
      <c r="F4" s="13">
        <f t="shared" si="0"/>
        <v>9230</v>
      </c>
      <c r="G4" s="5"/>
      <c r="H4" s="7">
        <f t="shared" si="1"/>
        <v>0.10222116073561022</v>
      </c>
    </row>
    <row r="5" spans="1:8" x14ac:dyDescent="0.4">
      <c r="A5" s="5" t="s">
        <v>11</v>
      </c>
      <c r="B5" s="6">
        <v>1842</v>
      </c>
      <c r="C5" s="6">
        <v>2295</v>
      </c>
      <c r="D5" s="6">
        <v>2748</v>
      </c>
      <c r="E5" s="6">
        <v>3201</v>
      </c>
      <c r="F5" s="13">
        <f t="shared" si="0"/>
        <v>10086</v>
      </c>
      <c r="G5" s="5"/>
      <c r="H5" s="7">
        <f t="shared" si="1"/>
        <v>9.2741061755146265E-2</v>
      </c>
    </row>
    <row r="6" spans="1:8" x14ac:dyDescent="0.4">
      <c r="A6" s="5" t="s">
        <v>12</v>
      </c>
      <c r="B6" s="6">
        <v>2056</v>
      </c>
      <c r="C6" s="6">
        <v>2509</v>
      </c>
      <c r="D6" s="6">
        <v>2962</v>
      </c>
      <c r="E6" s="6">
        <v>3415</v>
      </c>
      <c r="F6" s="13">
        <f t="shared" si="0"/>
        <v>10942</v>
      </c>
      <c r="G6" s="5"/>
      <c r="H6" s="7">
        <f t="shared" si="1"/>
        <v>8.487011699385287E-2</v>
      </c>
    </row>
    <row r="7" spans="1:8" x14ac:dyDescent="0.4">
      <c r="A7" s="5" t="s">
        <v>13</v>
      </c>
      <c r="B7" s="6">
        <v>2270</v>
      </c>
      <c r="C7" s="6">
        <v>2723</v>
      </c>
      <c r="D7" s="6">
        <v>3176</v>
      </c>
      <c r="E7" s="6">
        <v>3629</v>
      </c>
      <c r="F7" s="13">
        <f t="shared" si="0"/>
        <v>11798</v>
      </c>
      <c r="G7" s="5"/>
      <c r="H7" s="7">
        <f t="shared" si="1"/>
        <v>7.8230670809723998E-2</v>
      </c>
    </row>
    <row r="8" spans="1:8" x14ac:dyDescent="0.4">
      <c r="A8" s="5" t="s">
        <v>14</v>
      </c>
      <c r="B8" s="6">
        <v>2484</v>
      </c>
      <c r="C8" s="6">
        <v>2937</v>
      </c>
      <c r="D8" s="6">
        <v>3390</v>
      </c>
      <c r="E8" s="6">
        <v>3843</v>
      </c>
      <c r="F8" s="13">
        <f t="shared" si="0"/>
        <v>12654</v>
      </c>
      <c r="G8" s="5"/>
      <c r="H8" s="7">
        <f t="shared" si="1"/>
        <v>7.2554670283098824E-2</v>
      </c>
    </row>
    <row r="9" spans="1:8" x14ac:dyDescent="0.4">
      <c r="A9" s="5" t="s">
        <v>15</v>
      </c>
      <c r="B9" s="6">
        <v>2698</v>
      </c>
      <c r="C9" s="6">
        <v>3151</v>
      </c>
      <c r="D9" s="6">
        <v>3604</v>
      </c>
      <c r="E9" s="6">
        <v>4057</v>
      </c>
      <c r="F9" s="13">
        <f t="shared" si="0"/>
        <v>13510</v>
      </c>
      <c r="G9" s="5"/>
      <c r="H9" s="7">
        <f t="shared" si="1"/>
        <v>6.7646593962383442E-2</v>
      </c>
    </row>
    <row r="10" spans="1:8" x14ac:dyDescent="0.4">
      <c r="A10" s="5" t="s">
        <v>16</v>
      </c>
      <c r="B10" s="6">
        <v>2912</v>
      </c>
      <c r="C10" s="6">
        <v>3365</v>
      </c>
      <c r="D10" s="6">
        <v>3818</v>
      </c>
      <c r="E10" s="6">
        <v>4271</v>
      </c>
      <c r="F10" s="13">
        <f t="shared" si="0"/>
        <v>14366</v>
      </c>
      <c r="G10" s="5"/>
      <c r="H10" s="7">
        <f t="shared" si="1"/>
        <v>6.3360473723168026E-2</v>
      </c>
    </row>
    <row r="11" spans="1:8" x14ac:dyDescent="0.4">
      <c r="A11" s="5" t="s">
        <v>17</v>
      </c>
      <c r="B11" s="6">
        <v>3126</v>
      </c>
      <c r="C11" s="6">
        <v>3579</v>
      </c>
      <c r="D11" s="6">
        <v>4032</v>
      </c>
      <c r="E11" s="6">
        <v>3418</v>
      </c>
      <c r="F11" s="13">
        <f t="shared" si="0"/>
        <v>14155</v>
      </c>
      <c r="G11" s="5"/>
      <c r="H11" s="7">
        <f t="shared" si="1"/>
        <v>-1.4687456494500905E-2</v>
      </c>
    </row>
    <row r="12" spans="1:8" x14ac:dyDescent="0.4">
      <c r="A12" s="5" t="s">
        <v>18</v>
      </c>
      <c r="B12" s="6">
        <v>3340</v>
      </c>
      <c r="C12" s="6">
        <v>3793</v>
      </c>
      <c r="D12" s="6">
        <v>4246</v>
      </c>
      <c r="E12" s="6">
        <v>3632</v>
      </c>
      <c r="F12" s="13">
        <f t="shared" si="0"/>
        <v>15011</v>
      </c>
      <c r="G12" s="5"/>
      <c r="H12" s="7">
        <f t="shared" si="1"/>
        <v>6.0473330978452845E-2</v>
      </c>
    </row>
    <row r="13" spans="1:8" x14ac:dyDescent="0.4">
      <c r="A13" s="5" t="s">
        <v>19</v>
      </c>
      <c r="B13" s="6">
        <v>3554</v>
      </c>
      <c r="C13" s="6">
        <v>4007</v>
      </c>
      <c r="D13" s="6">
        <v>3393</v>
      </c>
      <c r="E13" s="6">
        <v>3846</v>
      </c>
      <c r="F13" s="13">
        <f t="shared" si="0"/>
        <v>14800</v>
      </c>
      <c r="G13" s="5"/>
      <c r="H13" s="7">
        <f t="shared" si="1"/>
        <v>-1.405635867030844E-2</v>
      </c>
    </row>
    <row r="14" spans="1:8" x14ac:dyDescent="0.4">
      <c r="A14" s="8" t="s">
        <v>5</v>
      </c>
      <c r="B14" s="9">
        <f>SUM(B2:B13)</f>
        <v>28524</v>
      </c>
      <c r="C14" s="9">
        <f>SUM(C2:C13)</f>
        <v>33960</v>
      </c>
      <c r="D14" s="9">
        <f>SUM(D2:D13)</f>
        <v>38329</v>
      </c>
      <c r="E14" s="9">
        <f>SUM(E2:E13)</f>
        <v>41631</v>
      </c>
      <c r="F14" s="9">
        <f>SUM(F2:F13)</f>
        <v>142444</v>
      </c>
      <c r="G14" s="8"/>
      <c r="H14" s="8"/>
    </row>
    <row r="15" spans="1:8" x14ac:dyDescent="0.4">
      <c r="A15" s="10" t="s">
        <v>20</v>
      </c>
      <c r="B15" s="11">
        <f>AVERAGE(B2:B13)</f>
        <v>2377</v>
      </c>
      <c r="C15" s="11">
        <f>AVERAGE(C2:C13)</f>
        <v>2830</v>
      </c>
      <c r="D15" s="11">
        <f>AVERAGE(D2:D13)</f>
        <v>3194.0833333333335</v>
      </c>
      <c r="E15" s="11">
        <f>AVERAGE(E2:E13)</f>
        <v>3469.25</v>
      </c>
      <c r="F15" s="11">
        <f>AVERAGE(F2:F13)</f>
        <v>11870.333333333334</v>
      </c>
      <c r="G15" s="10"/>
      <c r="H15" s="10"/>
    </row>
    <row r="16" spans="1:8" x14ac:dyDescent="0.4">
      <c r="A16" s="10" t="s">
        <v>21</v>
      </c>
      <c r="B16" s="12">
        <f>MAX(B2:B13)</f>
        <v>3554</v>
      </c>
      <c r="C16" s="12">
        <f>MAX(C2:C13)</f>
        <v>4007</v>
      </c>
      <c r="D16" s="12">
        <f>MAX(D2:D13)</f>
        <v>4246</v>
      </c>
      <c r="E16" s="12">
        <f>MAX(E2:E13)</f>
        <v>4271</v>
      </c>
      <c r="F16" s="12">
        <f>MAX(F2:F13)</f>
        <v>15011</v>
      </c>
      <c r="G16" s="10"/>
      <c r="H16" s="10"/>
    </row>
    <row r="17" spans="1:8" x14ac:dyDescent="0.4">
      <c r="A17" s="10" t="s">
        <v>22</v>
      </c>
      <c r="B17" s="12">
        <f>MIN(B2:B13)</f>
        <v>1200</v>
      </c>
      <c r="C17" s="12">
        <f>MIN(C2:C13)</f>
        <v>1653</v>
      </c>
      <c r="D17" s="12">
        <f>MIN(D2:D13)</f>
        <v>2106</v>
      </c>
      <c r="E17" s="12">
        <f>MIN(E2:E13)</f>
        <v>2559</v>
      </c>
      <c r="F17" s="12">
        <f>MIN(F2:F13)</f>
        <v>7518</v>
      </c>
      <c r="G17" s="10"/>
      <c r="H17" s="10"/>
    </row>
    <row r="19" spans="1:8" x14ac:dyDescent="0.4">
      <c r="A19" s="14" t="s">
        <v>23</v>
      </c>
    </row>
    <row r="21" spans="1:8" x14ac:dyDescent="0.4">
      <c r="A21" t="s">
        <v>24</v>
      </c>
      <c r="B21" t="s">
        <v>25</v>
      </c>
    </row>
  </sheetData>
  <autoFilter ref="A1:H13" xr:uid="{F5BD3880-9E53-4CB2-A790-6D78A59019D2}"/>
  <conditionalFormatting sqref="B2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{5221ADD7-2263-4A7C-B848-81E40BC9180A}</x14:id>
        </ext>
      </extLst>
    </cfRule>
  </conditionalFormatting>
  <conditionalFormatting sqref="H3:H13">
    <cfRule type="iconSet" priority="3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21" xr:uid="{1466060E-0EF8-4420-A5F3-4B7207CEA754}">
      <formula1>"Yes,No,Maybe"</formula1>
    </dataValidation>
  </dataValidations>
  <hyperlinks>
    <hyperlink ref="A19" r:id="rId1" tooltip="The free suite" xr:uid="{B3D97404-9C15-49D4-A42F-4901ABE6E7C2}"/>
  </hyperlinks>
  <pageMargins left="0.7" right="0.7" top="0.75" bottom="0.75" header="0.3" footer="0.3"/>
  <drawing r:id="rId2"/>
  <mc:AlternateContent xmlns:mc="http://schemas.openxmlformats.org/markup-compatibility/2006">
    <mc:Choice Requires="v">
      <legacyDrawing r:id="rId3"/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21ADD7-2263-4A7C-B848-81E40BC9180A}">
            <x14:dataBar minLength="0" maxLength="100" negativeBarColorSameAsPositive="1" axisPosition="none">
              <x14:cfvo type="min"/>
              <x14:cfvo type="max"/>
            </x14:dataBar>
          </x14:cfRule>
          <xm:sqref>F2:F13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12AC098-6740-4043-8F04-09385C8FE6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Table!B2:E2</xm:f>
              <xm:sqref>G2</xm:sqref>
            </x14:sparkline>
            <x14:sparkline>
              <xm:f>Table!B3:E3</xm:f>
              <xm:sqref>G3</xm:sqref>
            </x14:sparkline>
            <x14:sparkline>
              <xm:f>Table!B4:E4</xm:f>
              <xm:sqref>G4</xm:sqref>
            </x14:sparkline>
            <x14:sparkline>
              <xm:f>Table!B5:E5</xm:f>
              <xm:sqref>G5</xm:sqref>
            </x14:sparkline>
            <x14:sparkline>
              <xm:f>Table!B6:E6</xm:f>
              <xm:sqref>G6</xm:sqref>
            </x14:sparkline>
            <x14:sparkline>
              <xm:f>Table!B7:E7</xm:f>
              <xm:sqref>G7</xm:sqref>
            </x14:sparkline>
            <x14:sparkline>
              <xm:f>Table!B8:E8</xm:f>
              <xm:sqref>G8</xm:sqref>
            </x14:sparkline>
            <x14:sparkline>
              <xm:f>Table!B9:E9</xm:f>
              <xm:sqref>G9</xm:sqref>
            </x14:sparkline>
            <x14:sparkline>
              <xm:f>Table!B10:E10</xm:f>
              <xm:sqref>G10</xm:sqref>
            </x14:sparkline>
            <x14:sparkline>
              <xm:f>Table!B11:E11</xm:f>
              <xm:sqref>G11</xm:sqref>
            </x14:sparkline>
            <x14:sparkline>
              <xm:f>Table!B12:E12</xm:f>
              <xm:sqref>G12</xm:sqref>
            </x14:sparkline>
            <x14:sparkline>
              <xm:f>Table!B13:E13</xm:f>
              <xm:sqref>G13</xm:sqref>
            </x14:sparkline>
          </x14:sparklines>
        </x14:sparklineGroup>
      </x14:sparklineGroups>
    </ext>
  </extLs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319D-76C7-4948-BCF1-3CFBBE077563}">
  <dimension ref="A1:D20"/>
  <sheetViews>
    <sheetView workbookViewId="0"/>
  </sheetViews>
  <sheetFormatPr defaultRowHeight="14.6" x14ac:dyDescent="0.4"/>
  <cols>
    <col min="1" max="1" width="26.69140625" customWidth="1"/>
    <col min="2" max="2" width="16.69140625" customWidth="1"/>
  </cols>
  <sheetData>
    <row r="1" spans="1:4" ht="23.6" x14ac:dyDescent="0.65">
      <c r="A1" s="39" t="s">
        <v>26</v>
      </c>
      <c r="B1" s="40"/>
      <c r="C1" s="40"/>
      <c r="D1" s="40"/>
    </row>
    <row r="3" spans="1:4" x14ac:dyDescent="0.4">
      <c r="A3" s="16" t="s">
        <v>27</v>
      </c>
      <c r="B3" s="17">
        <f>SUM(Sales!F2:F13)</f>
        <v>142444</v>
      </c>
    </row>
    <row r="4" spans="1:4" x14ac:dyDescent="0.4">
      <c r="A4" s="16" t="s">
        <v>28</v>
      </c>
      <c r="B4" s="17">
        <f>GrandTotal</f>
        <v>142444</v>
      </c>
    </row>
    <row r="5" spans="1:4" x14ac:dyDescent="0.4">
      <c r="A5" s="16" t="s">
        <v>29</v>
      </c>
      <c r="B5" s="18" t="str">
        <f>INDEX(Sales!A2:A13,MATCH(MAX(Sales!F2:F13),Sales!F2:F13,0))</f>
        <v>Nov</v>
      </c>
    </row>
    <row r="6" spans="1:4" x14ac:dyDescent="0.4">
      <c r="A6" s="16" t="s">
        <v>30</v>
      </c>
      <c r="B6" s="17">
        <f>VLOOKUP("Mar",Sales!A2:F13,6,FALSE)</f>
        <v>9230</v>
      </c>
    </row>
    <row r="7" spans="1:4" x14ac:dyDescent="0.4">
      <c r="A7" s="16" t="s">
        <v>31</v>
      </c>
      <c r="B7" s="19">
        <f>COUNTIF(Sales!F2:F13,"&gt;8000")</f>
        <v>11</v>
      </c>
    </row>
    <row r="8" spans="1:4" x14ac:dyDescent="0.4">
      <c r="A8" s="16" t="s">
        <v>32</v>
      </c>
      <c r="B8" s="17">
        <f>SUMIF(Sales!A2:A13,"J*",Sales!F2:F13)</f>
        <v>31970</v>
      </c>
    </row>
    <row r="9" spans="1:4" x14ac:dyDescent="0.4">
      <c r="A9" s="16" t="s">
        <v>33</v>
      </c>
      <c r="B9" s="20">
        <f>Sales!B14/GrandTotal</f>
        <v>0.20024711465558395</v>
      </c>
    </row>
    <row r="10" spans="1:4" x14ac:dyDescent="0.4">
      <c r="A10" s="16" t="s">
        <v>34</v>
      </c>
      <c r="B10" s="21">
        <f>AVERAGE(SalesTotals)</f>
        <v>11870.333333333334</v>
      </c>
    </row>
    <row r="11" spans="1:4" x14ac:dyDescent="0.4">
      <c r="A11" s="16" t="s">
        <v>35</v>
      </c>
      <c r="B11" s="18" t="str">
        <f>IF(GrandTotal&gt;90000,"On target","Below target")</f>
        <v>On target</v>
      </c>
    </row>
    <row r="12" spans="1:4" x14ac:dyDescent="0.4">
      <c r="A12" s="16" t="s">
        <v>36</v>
      </c>
      <c r="B12" s="18" t="str">
        <f>TEXT(GrandTotal,"#,##0.00")</f>
        <v>142,444.00</v>
      </c>
    </row>
    <row r="13" spans="1:4" x14ac:dyDescent="0.4">
      <c r="A13" s="16" t="s">
        <v>37</v>
      </c>
      <c r="B13" s="22">
        <f>'Data types'!B2+'Data types'!B3</f>
        <v>45.141590000000001</v>
      </c>
    </row>
    <row r="14" spans="1:4" x14ac:dyDescent="0.4">
      <c r="A14" s="16" t="s">
        <v>38</v>
      </c>
      <c r="B14" s="23">
        <f>SUM(Table!D2:D7)</f>
        <v>4210.6499999999996</v>
      </c>
    </row>
    <row r="15" spans="1:4" x14ac:dyDescent="0.4">
      <c r="A15" s="16" t="s">
        <v>39</v>
      </c>
      <c r="B15" s="24">
        <f>ROUND(AVERAGE(Sales!B2:E13)*1.1,2)</f>
        <v>3264.34</v>
      </c>
    </row>
    <row r="16" spans="1:4" x14ac:dyDescent="0.4">
      <c r="A16" s="16" t="s">
        <v>40</v>
      </c>
      <c r="B16" s="19">
        <f>COUNTA(Regions)</f>
        <v>4</v>
      </c>
    </row>
    <row r="18" spans="1:4" x14ac:dyDescent="0.4">
      <c r="A18" s="3" t="s">
        <v>41</v>
      </c>
    </row>
    <row r="19" spans="1:4" x14ac:dyDescent="0.4">
      <c r="A19" t="str">
        <f>Sales!B1</f>
        <v>North</v>
      </c>
      <c r="B19" t="str">
        <f>Sales!C1</f>
        <v>South</v>
      </c>
      <c r="C19" t="str">
        <f>Sales!D1</f>
        <v>East</v>
      </c>
      <c r="D19" t="str">
        <f>Sales!E1</f>
        <v>West</v>
      </c>
    </row>
    <row r="20" spans="1:4" x14ac:dyDescent="0.4">
      <c r="A20" s="1">
        <f>Sales!B14</f>
        <v>28524</v>
      </c>
      <c r="B20" s="1">
        <f>Sales!C14</f>
        <v>33960</v>
      </c>
      <c r="C20" s="1">
        <f>Sales!D14</f>
        <v>38329</v>
      </c>
      <c r="D20" s="1">
        <f>Sales!E14</f>
        <v>41631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77CD-A053-42DF-8E17-1DB101C09F08}">
  <dimension ref="A1"/>
  <sheetViews>
    <sheetView workbookViewId="0"/>
  </sheetViews>
  <sheetFormatPr defaultRowHeight="14.6" x14ac:dyDescent="0.4"/>
  <sheetData/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920C-1B41-455F-8C97-E51F7E15C42C}">
  <dimension ref="A1:D30"/>
  <sheetViews>
    <sheetView workbookViewId="0"/>
  </sheetViews>
  <sheetFormatPr defaultRowHeight="14.6" outlineLevelRow="1" x14ac:dyDescent="0.4"/>
  <cols>
    <col min="1" max="1" width="22.69140625" customWidth="1"/>
    <col min="2" max="2" width="34.69140625" customWidth="1"/>
    <col min="3" max="3" width="0" hidden="1" customWidth="1"/>
    <col min="4" max="4" width="18.69140625" customWidth="1"/>
  </cols>
  <sheetData>
    <row r="1" spans="1:4" x14ac:dyDescent="0.4">
      <c r="A1" s="25" t="s">
        <v>42</v>
      </c>
      <c r="B1" s="25" t="s">
        <v>43</v>
      </c>
      <c r="C1" s="25" t="s">
        <v>44</v>
      </c>
      <c r="D1" s="25" t="s">
        <v>45</v>
      </c>
    </row>
    <row r="2" spans="1:4" x14ac:dyDescent="0.4">
      <c r="A2" s="38" t="s">
        <v>46</v>
      </c>
      <c r="B2">
        <v>42</v>
      </c>
      <c r="C2" t="s">
        <v>47</v>
      </c>
      <c r="D2" t="s">
        <v>95</v>
      </c>
    </row>
    <row r="3" spans="1:4" x14ac:dyDescent="0.4">
      <c r="A3" t="s">
        <v>48</v>
      </c>
      <c r="B3" s="15">
        <v>3.1415899999999999</v>
      </c>
      <c r="C3" t="s">
        <v>49</v>
      </c>
      <c r="D3" t="s">
        <v>96</v>
      </c>
    </row>
    <row r="4" spans="1:4" x14ac:dyDescent="0.4">
      <c r="A4" t="s">
        <v>50</v>
      </c>
      <c r="B4" s="26">
        <v>1234.5</v>
      </c>
      <c r="C4" t="s">
        <v>51</v>
      </c>
      <c r="D4" t="s">
        <v>97</v>
      </c>
    </row>
    <row r="5" spans="1:4" x14ac:dyDescent="0.4">
      <c r="A5" t="s">
        <v>52</v>
      </c>
      <c r="B5" s="2">
        <v>0.25600000000000001</v>
      </c>
      <c r="C5" t="s">
        <v>53</v>
      </c>
    </row>
    <row r="6" spans="1:4" x14ac:dyDescent="0.4">
      <c r="A6" t="s">
        <v>54</v>
      </c>
      <c r="B6" s="27" t="d">
        <v>2026-09-10</v>
      </c>
      <c r="C6" t="s">
        <v>55</v>
      </c>
    </row>
    <row r="7" spans="1:4" x14ac:dyDescent="0.4">
      <c r="A7" t="s">
        <v>56</v>
      </c>
      <c r="B7" s="28" t="d">
        <v>18:00:00.000</v>
      </c>
      <c r="C7" t="s">
        <v>57</v>
      </c>
    </row>
    <row r="8" spans="1:4" x14ac:dyDescent="0.4">
      <c r="A8" t="s">
        <v>58</v>
      </c>
      <c r="B8" s="29">
        <v>0.375</v>
      </c>
      <c r="C8" t="s">
        <v>59</v>
      </c>
    </row>
    <row r="9" spans="1:4" x14ac:dyDescent="0.4">
      <c r="A9" t="s">
        <v>60</v>
      </c>
      <c r="B9" s="30">
        <v>123456789</v>
      </c>
      <c r="C9" t="s">
        <v>61</v>
      </c>
    </row>
    <row r="10" spans="1:4" x14ac:dyDescent="0.4">
      <c r="A10" t="s">
        <v>62</v>
      </c>
      <c r="B10" t="b">
        <v>1</v>
      </c>
      <c r="C10" t="s">
        <v>63</v>
      </c>
    </row>
    <row r="11" spans="1:4" x14ac:dyDescent="0.4">
      <c r="A11" t="s">
        <v>64</v>
      </c>
      <c r="B11" s="31">
        <v>-987.65</v>
      </c>
      <c r="C11" t="s">
        <v>65</v>
      </c>
    </row>
    <row r="12" spans="1:4" x14ac:dyDescent="0.4">
      <c r="A12" t="s">
        <v>66</v>
      </c>
      <c r="B12" s="1">
        <v>9876543</v>
      </c>
      <c r="C12" t="s">
        <v>67</v>
      </c>
    </row>
    <row r="13" spans="1:4" x14ac:dyDescent="0.4">
      <c r="A13" t="s">
        <v>68</v>
      </c>
      <c r="B13" s="32">
        <v>42.5</v>
      </c>
      <c r="C13" t="s">
        <v>69</v>
      </c>
    </row>
    <row r="14" spans="1:4" x14ac:dyDescent="0.4">
      <c r="A14" t="s">
        <v>70</v>
      </c>
      <c r="B14" t="e">
        <f>1/0</f>
        <v>#DIV/0!</v>
      </c>
    </row>
    <row r="15" spans="1:4" x14ac:dyDescent="0.4">
      <c r="A15" t="s">
        <v>71</v>
      </c>
      <c r="B15" t="e">
        <f>NA()</f>
        <v>#N/A</v>
      </c>
    </row>
    <row r="16" spans="1:4" x14ac:dyDescent="0.4">
      <c r="A16" t="s">
        <v>72</v>
      </c>
      <c r="B16" s="1">
        <f>Sales!F14</f>
        <v>142444</v>
      </c>
    </row>
    <row r="17" spans="1:4" ht="60" customHeight="1" x14ac:dyDescent="0.4">
      <c r="A17" t="s">
        <v>73</v>
      </c>
      <c r="B17" s="33" t="s">
        <v>74</v>
      </c>
    </row>
    <row r="18" spans="1:4" x14ac:dyDescent="0.4">
      <c r="A18" t="s">
        <v>75</v>
      </c>
      <c r="B18" s="3" t="s">
        <v>76</v>
      </c>
    </row>
    <row r="19" spans="1:4" ht="70" customHeight="1" x14ac:dyDescent="0.4">
      <c r="A19" t="s">
        <v>77</v>
      </c>
      <c r="B19" s="34" t="s">
        <v>78</v>
      </c>
    </row>
    <row r="20" spans="1:4" x14ac:dyDescent="0.4">
      <c r="A20" t="s">
        <v>79</v>
      </c>
      <c r="B20" s="41" t="s">
        <v>80</v>
      </c>
      <c r="C20" s="42"/>
      <c r="D20" s="42"/>
    </row>
    <row r="21" spans="1:4" ht="16.3" x14ac:dyDescent="0.4">
      <c r="A21" t="s">
        <v>81</v>
      </c>
      <c r="B21" t="s">
        <v>82</v>
      </c>
    </row>
    <row r="22" spans="1:4" x14ac:dyDescent="0.4">
      <c r="A22" t="s">
        <v>83</v>
      </c>
      <c r="B22" t="s">
        <v>84</v>
      </c>
    </row>
    <row r="23" spans="1:4" ht="30.45" thickBot="1" x14ac:dyDescent="0.75">
      <c r="A23" t="s">
        <v>85</v>
      </c>
      <c r="B23" s="35" t="s">
        <v>86</v>
      </c>
    </row>
    <row r="24" spans="1:4" ht="15.45" thickTop="1" thickBot="1" x14ac:dyDescent="0.45">
      <c r="A24" t="s">
        <v>87</v>
      </c>
      <c r="B24" s="36" t="s">
        <v>88</v>
      </c>
    </row>
    <row r="25" spans="1:4" ht="15" thickTop="1" x14ac:dyDescent="0.4">
      <c r="A25" t="s">
        <v>89</v>
      </c>
      <c r="B25" s="37" t="s">
        <v>90</v>
      </c>
    </row>
    <row r="27" spans="1:4" x14ac:dyDescent="0.4">
      <c r="A27" t="s">
        <v>91</v>
      </c>
    </row>
    <row r="28" spans="1:4" outlineLevel="1" x14ac:dyDescent="0.4">
      <c r="A28" t="s">
        <v>92</v>
      </c>
    </row>
    <row r="29" spans="1:4" outlineLevel="1" x14ac:dyDescent="0.4">
      <c r="A29" t="s">
        <v>93</v>
      </c>
    </row>
    <row r="30" spans="1:4" outlineLevel="1" x14ac:dyDescent="0.4">
      <c r="A30" t="s">
        <v>94</v>
      </c>
    </row>
  </sheetData>
  <mergeCells count="1">
    <mergeCell ref="B20:D20"/>
  </mergeCells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D157-DB68-424D-8050-B609BE1C2B36}">
  <dimension ref="A1:D10"/>
  <sheetViews>
    <sheetView workbookViewId="0"/>
  </sheetViews>
  <sheetFormatPr defaultRowHeight="14.6" x14ac:dyDescent="0.4"/>
  <cols>
    <col min="1" max="1" width="22.69140625" customWidth="1"/>
    <col min="2" max="2" width="10.84375" customWidth="1"/>
    <col min="4" max="4" width="10.15234375" customWidth="1"/>
  </cols>
  <sheetData>
    <row r="1" spans="1:4" x14ac:dyDescent="0.4">
      <c r="A1" t="s">
        <v>98</v>
      </c>
      <c r="B1" t="s">
        <v>99</v>
      </c>
      <c r="C1" t="s">
        <v>100</v>
      </c>
      <c r="D1" t="s">
        <v>101</v>
      </c>
    </row>
    <row r="2" spans="1:4" x14ac:dyDescent="0.4">
      <c r="A2" t="s">
        <v>102</v>
      </c>
      <c r="B2">
        <v>4</v>
      </c>
      <c r="C2" s="26">
        <v>249.99</v>
      </c>
      <c r="D2" s="26">
        <f t="shared" ref="D2:D7" si="0">B2*C2</f>
        <v>999.96</v>
      </c>
    </row>
    <row r="3" spans="1:4" x14ac:dyDescent="0.4">
      <c r="A3" t="s">
        <v>103</v>
      </c>
      <c r="B3">
        <v>12</v>
      </c>
      <c r="C3" s="26">
        <v>89.5</v>
      </c>
      <c r="D3" s="26">
        <f t="shared" si="0"/>
        <v>1074</v>
      </c>
    </row>
    <row r="4" spans="1:4" x14ac:dyDescent="0.4">
      <c r="A4" t="s">
        <v>104</v>
      </c>
      <c r="B4">
        <v>7</v>
      </c>
      <c r="C4" s="26">
        <v>34.25</v>
      </c>
      <c r="D4" s="26">
        <f t="shared" si="0"/>
        <v>239.75</v>
      </c>
    </row>
    <row r="5" spans="1:4" x14ac:dyDescent="0.4">
      <c r="A5" t="s">
        <v>105</v>
      </c>
      <c r="B5">
        <v>3</v>
      </c>
      <c r="C5" s="26">
        <v>129</v>
      </c>
      <c r="D5" s="26">
        <f t="shared" si="0"/>
        <v>387</v>
      </c>
    </row>
    <row r="6" spans="1:4" x14ac:dyDescent="0.4">
      <c r="A6" t="s">
        <v>106</v>
      </c>
      <c r="B6">
        <v>6</v>
      </c>
      <c r="C6" s="26">
        <v>219.99</v>
      </c>
      <c r="D6" s="26">
        <f t="shared" si="0"/>
        <v>1319.94</v>
      </c>
    </row>
    <row r="7" spans="1:4" x14ac:dyDescent="0.4">
      <c r="A7" t="s">
        <v>107</v>
      </c>
      <c r="B7">
        <v>40</v>
      </c>
      <c r="C7" s="26">
        <v>4.75</v>
      </c>
      <c r="D7" s="26">
        <f t="shared" si="0"/>
        <v>190</v>
      </c>
    </row>
    <row r="8" spans="1:4" x14ac:dyDescent="0.4">
      <c r="A8" t="s">
        <v>5</v>
      </c>
      <c r="C8" s="26"/>
      <c r="D8" s="26">
        <f>SUBTOTAL(109,Orders[Amount])</f>
        <v>4210.6499999999996</v>
      </c>
    </row>
    <row r="10" spans="1:4" x14ac:dyDescent="0.4">
      <c r="A10" t="s">
        <v>108</v>
      </c>
      <c r="B10" s="26">
        <f>SUM(Orders[Amount])</f>
        <v>4210.6499999999996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Sales</vt:lpstr>
      <vt:lpstr>Summary</vt:lpstr>
      <vt:lpstr>Charts</vt:lpstr>
      <vt:lpstr>Data types</vt:lpstr>
      <vt:lpstr>Table</vt:lpstr>
      <vt:lpstr>GrandTotal</vt:lpstr>
      <vt:lpstr>Regions</vt:lpstr>
      <vt:lpstr>SalesTotals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Ejaz Arain</dc:creator>
  <cp:lastModifiedBy>Ejaz Arain</cp:lastModifiedBy>
  <dcterms:created xsi:type="dcterms:W3CDTF">2026-09-09T20:45:53Z</dcterms:created>
  <dcterms:modified xsi:type="dcterms:W3CDTF">2026-10-26T13:15:26Z</dcterms:modified>
</cp:coreProperties>
</file>