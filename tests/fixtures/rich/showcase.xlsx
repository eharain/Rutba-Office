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utba2.0\office\tests\fixtures\rich\"/>
    </mc:Choice>
  </mc:AlternateContent>
  <xr:revisionPtr revIDLastSave="0" documentId="8_{415794CF-4092-4DA5-982C-304D1468047A}" xr6:coauthVersionLast="47" xr6:coauthVersionMax="47" xr10:uidLastSave="{00000000-0000-0000-0000-000000000000}"/>
  <bookViews>
    <workbookView xWindow="-120" yWindow="-120" windowWidth="29040" windowHeight="15720" xr2:uid="{EA27F8CD-C773-4BA2-878C-E0FEC4362FFA}"/>
  </bookViews>
  <sheets>
    <sheet name="Sales" sheetId="1" r:id="rId1"/>
    <sheet name="Summary" sheetId="2" r:id="rId2"/>
    <sheet name="Charts" sheetId="3" r:id="rId3"/>
    <sheet name="Data types" sheetId="4" r:id="rId4"/>
    <sheet name="Table" sheetId="5" r:id="rId5"/>
  </sheets>
  <definedNames>
    <definedName name="_xlnm._FilterDatabase" localSheetId="0" hidden="1">Sales!$A$1:$H$13</definedName>
    <definedName name="GrandTotal">Sales!$F$14</definedName>
    <definedName name="Regions">Sales!$B$1:$E$1</definedName>
    <definedName name="SalesTotals">Sales!$F$2:$F$13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0" i="5" l="1"/>
  <c r="D7" i="5"/>
  <c r="D6" i="5"/>
  <c r="D5" i="5"/>
  <c r="D4" i="5"/>
  <c r="D3" i="5"/>
  <c r="D2" i="5"/>
  <c r="D8" i="5" s="1"/>
  <c r="B16" i="4"/>
  <c r="B15" i="4"/>
  <c r="B14" i="4"/>
  <c r="D20" i="2"/>
  <c r="D19" i="2"/>
  <c r="C20" i="2"/>
  <c r="C19" i="2"/>
  <c r="B20" i="2"/>
  <c r="B19" i="2"/>
  <c r="A20" i="2"/>
  <c r="A19" i="2"/>
  <c r="B16" i="2"/>
  <c r="B15" i="2"/>
  <c r="B13" i="2"/>
  <c r="B12" i="2"/>
  <c r="B11" i="2"/>
  <c r="B10" i="2"/>
  <c r="B9" i="2"/>
  <c r="B8" i="2"/>
  <c r="B7" i="2"/>
  <c r="B6" i="2"/>
  <c r="B5" i="2"/>
  <c r="B4" i="2"/>
  <c r="B3" i="2"/>
  <c r="F17" i="1"/>
  <c r="F16" i="1"/>
  <c r="F15" i="1"/>
  <c r="F14" i="1"/>
  <c r="E17" i="1"/>
  <c r="E16" i="1"/>
  <c r="E15" i="1"/>
  <c r="E14" i="1"/>
  <c r="D17" i="1"/>
  <c r="D16" i="1"/>
  <c r="D15" i="1"/>
  <c r="D14" i="1"/>
  <c r="C17" i="1"/>
  <c r="C16" i="1"/>
  <c r="C15" i="1"/>
  <c r="C14" i="1"/>
  <c r="B17" i="1"/>
  <c r="B16" i="1"/>
  <c r="B15" i="1"/>
  <c r="B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H3" i="1"/>
  <c r="F3" i="1"/>
  <c r="F2" i="1"/>
  <c r="B1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Ejaz Arain</author>
  </authors>
  <commentList>
    <comment ref="A1" authorId="0" shapeId="0" xr:uid="{1A131A49-63DF-4A6E-96C0-ECBBA0AB54DD}">
      <text>
        <r>
          <rPr>
            <b/>
            <sz val="9"/>
            <color indexed="81"/>
            <rFont val="Tahoma"/>
            <family val="2"/>
          </rPr>
          <t>Months of the year 2026-09-10 00:51 - a plain note, not a threaded comment.</t>
        </r>
      </text>
    </comment>
  </commentList>
</comments>
</file>

<file path=xl/sharedStrings.xml><?xml version="1.0" encoding="utf-8"?>
<sst xmlns="http://schemas.openxmlformats.org/spreadsheetml/2006/main" count="111" uniqueCount="109">
  <si>
    <t>Month</t>
  </si>
  <si>
    <t>North</t>
  </si>
  <si>
    <t>South</t>
  </si>
  <si>
    <t>East</t>
  </si>
  <si>
    <t>West</t>
  </si>
  <si>
    <t>Total</t>
  </si>
  <si>
    <t>Trend</t>
  </si>
  <si>
    <t>Growth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</si>
  <si>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</si>
  <si>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</si>
  <si>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</si>
  <si>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</si>
  <si>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</si>
  <si>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</si>
  <si>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</si>
  <si>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</si>
  <si>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</si>
  <si>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</si>
  <si>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</si>
  <si>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</si>
  <si>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Average</t>
  </si>
  <si>
    <t>Best</t>
  </si>
  <si>
    <t>Worst</t>
  </si>
  <si>
    <t>Rutba Office</t>
  </si>
  <si>
    <t>Approved?</t>
  </si>
  <si>
    <t>Yes</t>
  </si>
  <si>
    <t>Summary of the year</t>
  </si>
  <si>
    <t>Grand total</t>
  </si>
  <si>
    <t>Grand total, by name</t>
  </si>
  <si>
    <t>Best month</t>
  </si>
  <si>
    <t>March, looked up</t>
  </si>
  <si>
    <t>Months over 8,000</t>
  </si>
  <si>
    <t>J-months, summed</t>
  </si>
  <si>
    <t>North share</t>
  </si>
  <si>
    <t>Average month, by name</t>
  </si>
  <si>
    <t>Verdict</t>
  </si>
  <si>
    <t>As text</t>
  </si>
  <si>
    <t>Data types, added</t>
  </si>
  <si>
    <t>Table total</t>
  </si>
  <si>
    <t>Rounded, nested</t>
  </si>
  <si>
    <t>Regions counted</t>
  </si>
  <si>
    <t>Region totals</t>
  </si>
  <si>
    <t>Kind</t>
  </si>
  <si>
    <t>Value</t>
  </si>
  <si>
    <t>Hidden</t>
  </si>
  <si>
    <t>Note</t>
  </si>
  <si>
    <t>Integer</t>
  </si>
  <si>
    <t>hidden 0</t>
  </si>
  <si>
    <t>Decimal</t>
  </si>
  <si>
    <t>hidden 1</t>
  </si>
  <si>
    <t>Currency</t>
  </si>
  <si>
    <t>hidden 2</t>
  </si>
  <si>
    <t>Percent</t>
  </si>
  <si>
    <t>hidden 3</t>
  </si>
  <si>
    <t>Date</t>
  </si>
  <si>
    <t>hidden 4</t>
  </si>
  <si>
    <t>Time</t>
  </si>
  <si>
    <t>hidden 5</t>
  </si>
  <si>
    <t>Fraction</t>
  </si>
  <si>
    <t>hidden 6</t>
  </si>
  <si>
    <t>Scientific</t>
  </si>
  <si>
    <t>hidden 7</t>
  </si>
  <si>
    <t>Boolean</t>
  </si>
  <si>
    <t>hidden 8</t>
  </si>
  <si>
    <t>Negative in red</t>
  </si>
  <si>
    <t>hidden 9</t>
  </si>
  <si>
    <t>Thousands</t>
  </si>
  <si>
    <t>hidden 10</t>
  </si>
  <si>
    <t>Accounting</t>
  </si>
  <si>
    <t>hidden 11</t>
  </si>
  <si>
    <t>Division by zero</t>
  </si>
  <si>
    <t>Not available</t>
  </si>
  <si>
    <t>From another sheet</t>
  </si>
  <si>
    <t>Long text, wrapped</t>
  </si>
  <si>
    <t>A sentence long enough to need wrapping inside its cell, which is what this column is for.</t>
  </si>
  <si>
    <t>Rich text</t>
  </si>
  <si>
    <r>
      <t>Bold start</t>
    </r>
    <r>
      <rPr>
        <sz val="11"/>
        <color theme="1"/>
        <rFont val="Aptos Narrow"/>
        <family val="2"/>
        <scheme val="minor"/>
      </rPr>
      <t>,</t>
    </r>
    <r>
      <rPr>
        <i/>
        <sz val="11"/>
        <color rgb="FFFF0000"/>
        <rFont val="Aptos Narrow"/>
        <family val="2"/>
        <scheme val="minor"/>
      </rPr>
      <t xml:space="preserve"> red middl</t>
    </r>
    <r>
      <rPr>
        <sz val="11"/>
        <color theme="1"/>
        <rFont val="Aptos Narrow"/>
        <family val="2"/>
        <scheme val="minor"/>
      </rPr>
      <t>e, plain end</t>
    </r>
  </si>
  <si>
    <t>Rotated</t>
  </si>
  <si>
    <t>Up at 45 degrees</t>
  </si>
  <si>
    <t>Merged across</t>
  </si>
  <si>
    <t>One cell across three columns</t>
  </si>
  <si>
    <t>Superscript</t>
  </si>
  <si>
    <r>
      <t>E = mc</t>
    </r>
    <r>
      <rPr>
        <vertAlign val="superscript"/>
        <sz val="11"/>
        <color theme="1"/>
        <rFont val="Aptos Narrow"/>
        <family val="2"/>
        <scheme val="minor"/>
      </rPr>
      <t>2</t>
    </r>
  </si>
  <si>
    <t>Unicode</t>
  </si>
  <si>
    <t>Café — naïve • 日本語 • العربية • Ωmega • ✓</t>
  </si>
  <si>
    <t>Big font</t>
  </si>
  <si>
    <t>Twenty-four point</t>
  </si>
  <si>
    <t>Fill and border</t>
  </si>
  <si>
    <t>Boxed</t>
  </si>
  <si>
    <t>Indented, right</t>
  </si>
  <si>
    <t>right</t>
  </si>
  <si>
    <t>Grouped rows below</t>
  </si>
  <si>
    <t>one</t>
  </si>
  <si>
    <t>two</t>
  </si>
  <si>
    <t>three</t>
  </si>
  <si>
    <t>plain</t>
  </si>
  <si>
    <t>three decimals</t>
  </si>
  <si>
    <t>pounds</t>
  </si>
  <si>
    <t>Product</t>
  </si>
  <si>
    <t>Quantity</t>
  </si>
  <si>
    <t>Price</t>
  </si>
  <si>
    <t>Amount</t>
  </si>
  <si>
    <t>Desk</t>
  </si>
  <si>
    <t>Chair</t>
  </si>
  <si>
    <t>Lamp</t>
  </si>
  <si>
    <t>Shelf</t>
  </si>
  <si>
    <t>Monitor</t>
  </si>
  <si>
    <t>Cable</t>
  </si>
  <si>
    <t>Structured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</si>
</sst>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164" formatCode="#,##0.0"/>
    <numFmt numFmtId="165" formatCode="0.0%"/>
    <numFmt numFmtId="166" formatCode="0.000"/>
    <numFmt numFmtId="167" formatCode="&quot;£&quot;#,##0.00"/>
  </numFmts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9"/>
      <color indexed="81"/>
      <name val="Tahoma"/>
      <family val="2"/>
    </font>
    <font>
      <u/>
      <sz val="11"/>
      <color theme="10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sz val="24"/>
      <color theme="1"/>
      <name val="Georgia"/>
      <family val="1"/>
    </font>
    <font>
      <u/>
      <sz val="11"/>
      <color rgb="FF0070C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3" fontId="0" fillId="0" borderId="0" xfId="0" applyNumberFormat="1"/>
    <xf numFmtId="165" fontId="0" fillId="0" borderId="0" xfId="0" applyNumberFormat="1"/>
    <xf numFmtId="0" fontId="1" fillId="0" borderId="0" xfId="0" applyFont="1"/>
    <xf numFmtId="0" fontId="2" fillId="2" borderId="2" xfId="0" applyFont="1" applyFill="1" applyBorder="1"/>
    <xf numFmtId="0" fontId="0" fillId="0" borderId="2" xfId="0" applyBorder="1"/>
    <xf numFmtId="3" fontId="0" fillId="0" borderId="2" xfId="0" applyNumberFormat="1" applyBorder="1"/>
    <xf numFmtId="165" fontId="0" fillId="0" borderId="2" xfId="0" applyNumberFormat="1" applyBorder="1"/>
    <xf numFmtId="0" fontId="1" fillId="3" borderId="2" xfId="0" applyFont="1" applyFill="1" applyBorder="1"/>
    <xf numFmtId="3" fontId="1" fillId="3" borderId="2" xfId="0" applyNumberFormat="1" applyFont="1" applyFill="1" applyBorder="1"/>
    <xf numFmtId="0" fontId="0" fillId="4" borderId="2" xfId="0" applyFill="1" applyBorder="1"/>
    <xf numFmtId="164" fontId="0" fillId="4" borderId="2" xfId="0" applyNumberFormat="1" applyFill="1" applyBorder="1"/>
    <xf numFmtId="3" fontId="0" fillId="4" borderId="2" xfId="0" applyNumberFormat="1" applyFill="1" applyBorder="1"/>
    <xf numFmtId="3" fontId="1" fillId="0" borderId="2" xfId="0" applyNumberFormat="1" applyFont="1" applyBorder="1"/>
    <xf numFmtId="0" fontId="4" fillId="0" borderId="0" xfId="1"/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0" xfId="0" applyNumberFormat="1"/>
    <xf numFmtId="166" fontId="0" fillId="0" borderId="0" xfId="0" applyNumberFormat="1"/>
    <xf numFmtId="0" fontId="1" fillId="6" borderId="1" xfId="0" applyFont="1" applyFill="1" applyBorder="1"/>
    <xf numFmtId="3" fontId="0" fillId="6" borderId="1" xfId="0" applyNumberFormat="1" applyFill="1" applyBorder="1"/>
    <xf numFmtId="0" fontId="0" fillId="6" borderId="1" xfId="0" applyNumberFormat="1" applyFill="1" applyBorder="1"/>
    <xf numFmtId="1" fontId="0" fillId="6" borderId="1" xfId="0" applyNumberFormat="1" applyFill="1" applyBorder="1"/>
    <xf numFmtId="165" fontId="0" fillId="6" borderId="1" xfId="0" applyNumberFormat="1" applyFill="1" applyBorder="1"/>
    <xf numFmtId="164" fontId="0" fillId="6" borderId="1" xfId="0" applyNumberFormat="1" applyFill="1" applyBorder="1"/>
    <xf numFmtId="166" fontId="0" fillId="6" borderId="1" xfId="0" applyNumberFormat="1" applyFill="1" applyBorder="1"/>
    <xf numFmtId="4" fontId="0" fillId="6" borderId="1" xfId="0" applyNumberFormat="1" applyFill="1" applyBorder="1"/>
    <xf numFmtId="2" fontId="0" fillId="6" borderId="1" xfId="0" applyNumberFormat="1" applyFill="1" applyBorder="1"/>
    <xf numFmtId="0" fontId="1" fillId="7" borderId="0" xfId="0" applyFont="1" applyFill="1"/>
    <xf numFmtId="167" fontId="0" fillId="0" borderId="0" xfId="0" applyNumberFormat="1"/>
    <xf numFmtId="14" fontId="0" fillId="0" borderId="0" xfId="0" applyNumberFormat="1"/>
    <xf numFmtId="20" fontId="0" fillId="0" borderId="0" xfId="0" applyNumberFormat="1"/>
    <xf numFmtId="12" fontId="0" fillId="0" borderId="0" xfId="0" applyNumberFormat="1"/>
    <xf numFmtId="11" fontId="0" fillId="0" borderId="0" xfId="0" applyNumberFormat="1"/>
    <xf numFmtId="40" fontId="0" fillId="0" borderId="0" xfId="0" applyNumberFormat="1"/>
    <xf numFmtId="4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textRotation="45"/>
    </xf>
    <xf numFmtId="0" fontId="0" fillId="0" borderId="0" xfId="0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0" fillId="9" borderId="3" xfId="0" applyFill="1" applyBorder="1"/>
    <xf numFmtId="0" fontId="0" fillId="0" borderId="0" xfId="0" applyAlignment="1">
      <alignment horizontal="right" indent="2"/>
    </xf>
    <xf numFmtId="0" fontId="9" fillId="0" borderId="0" xfId="0" applyFont="1"/>
  </cellXfs>
  <cellStyles count="2">
    <cellStyle name="Hyperlink" xfId="1" builtinId="8"/>
    <cellStyle name="Normal" xfId="0" builtinId="0"/>
  </cellStyles>
  <dxfs count="2">
    <dxf>
      <numFmt numFmtId="167" formatCode="&quot;£&quot;#,##0.00"/>
    </dxf>
    <dxf>
      <numFmt numFmtId="167" formatCode="&quot;£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Share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Summary!$A$19:$D$19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Summary!$A$20:$D$20</c:f>
              <c:numCache>
                <c:formatCode>#,##0</c:formatCode>
                <c:ptCount val="4"/>
                <c:pt idx="0">
                  <c:v>28524</c:v>
                </c:pt>
                <c:pt idx="1">
                  <c:v>33960</c:v>
                </c:pt>
                <c:pt idx="2">
                  <c:v>38329</c:v>
                </c:pt>
                <c:pt idx="3">
                  <c:v>41631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B1-4A06-AEAD-72447C079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Sales by region,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Sales!$B$2:$B$13</c:f>
              <c:numCache>
                <c:formatCode>#,##0</c:formatCode>
                <c:ptCount val="12"/>
                <c:pt idx="0">
                  <c:v>1200</c:v>
                </c:pt>
                <c:pt idx="1">
                  <c:v>1414</c:v>
                </c:pt>
                <c:pt idx="2">
                  <c:v>1628</c:v>
                </c:pt>
                <c:pt idx="3">
                  <c:v>1842</c:v>
                </c:pt>
                <c:pt idx="4">
                  <c:v>2056</c:v>
                </c:pt>
                <c:pt idx="5">
                  <c:v>2270</c:v>
                </c:pt>
                <c:pt idx="6">
                  <c:v>2484</c:v>
                </c:pt>
                <c:pt idx="7">
                  <c:v>2698</c:v>
                </c:pt>
                <c:pt idx="8">
                  <c:v>2912</c:v>
                </c:pt>
                <c:pt idx="9">
                  <c:v>3126</c:v>
                </c:pt>
                <c:pt idx="10">
                  <c:v>3340</c:v>
                </c:pt>
                <c:pt idx="11">
                  <c:v>3554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04-4028-A607-FE23741CB478}"/>
            </c:ext>
          </c:extLst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Sales!$C$2:$C$13</c:f>
              <c:numCache>
                <c:formatCode>#,##0</c:formatCode>
                <c:ptCount val="12"/>
                <c:pt idx="0">
                  <c:v>1653</c:v>
                </c:pt>
                <c:pt idx="1">
                  <c:v>1867</c:v>
                </c:pt>
                <c:pt idx="2">
                  <c:v>2081</c:v>
                </c:pt>
                <c:pt idx="3">
                  <c:v>2295</c:v>
                </c:pt>
                <c:pt idx="4">
                  <c:v>2509</c:v>
                </c:pt>
                <c:pt idx="5">
                  <c:v>2723</c:v>
                </c:pt>
                <c:pt idx="6">
                  <c:v>2937</c:v>
                </c:pt>
                <c:pt idx="7">
                  <c:v>3151</c:v>
                </c:pt>
                <c:pt idx="8">
                  <c:v>3365</c:v>
                </c:pt>
                <c:pt idx="9">
                  <c:v>3579</c:v>
                </c:pt>
                <c:pt idx="10">
                  <c:v>3793</c:v>
                </c:pt>
                <c:pt idx="11">
                  <c:v>4007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04-4028-A607-FE23741CB478}"/>
            </c:ext>
          </c:extLst>
        </c:ser>
        <c:ser>
          <c:idx val="2"/>
          <c:order val="2"/>
          <c:tx>
            <c:strRef>
              <c:f>Sales!$D$1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Sales!$D$2:$D$13</c:f>
              <c:numCache>
                <c:formatCode>#,##0</c:formatCode>
                <c:ptCount val="12"/>
                <c:pt idx="0">
                  <c:v>2106</c:v>
                </c:pt>
                <c:pt idx="1">
                  <c:v>2320</c:v>
                </c:pt>
                <c:pt idx="2">
                  <c:v>2534</c:v>
                </c:pt>
                <c:pt idx="3">
                  <c:v>2748</c:v>
                </c:pt>
                <c:pt idx="4">
                  <c:v>2962</c:v>
                </c:pt>
                <c:pt idx="5">
                  <c:v>3176</c:v>
                </c:pt>
                <c:pt idx="6">
                  <c:v>3390</c:v>
                </c:pt>
                <c:pt idx="7">
                  <c:v>3604</c:v>
                </c:pt>
                <c:pt idx="8">
                  <c:v>3818</c:v>
                </c:pt>
                <c:pt idx="9">
                  <c:v>4032</c:v>
                </c:pt>
                <c:pt idx="10">
                  <c:v>4246</c:v>
                </c:pt>
                <c:pt idx="11">
                  <c:v>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04-4028-A607-FE23741CB478}"/>
            </c:ext>
          </c:extLst>
        </c:ser>
        <c:ser>
          <c:idx val="3"/>
          <c:order val="3"/>
          <c:tx>
            <c:strRef>
              <c:f>Sales!$E$1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Sales!$E$2:$E$13</c:f>
              <c:numCache>
                <c:formatCode>#,##0</c:formatCode>
                <c:ptCount val="12"/>
                <c:pt idx="0">
                  <c:v>2559</c:v>
                </c:pt>
                <c:pt idx="1">
                  <c:v>2773</c:v>
                </c:pt>
                <c:pt idx="2">
                  <c:v>2987</c:v>
                </c:pt>
                <c:pt idx="3">
                  <c:v>3201</c:v>
                </c:pt>
                <c:pt idx="4">
                  <c:v>3415</c:v>
                </c:pt>
                <c:pt idx="5">
                  <c:v>3629</c:v>
                </c:pt>
                <c:pt idx="6">
                  <c:v>3843</c:v>
                </c:pt>
                <c:pt idx="7">
                  <c:v>4057</c:v>
                </c:pt>
                <c:pt idx="8">
                  <c:v>4271</c:v>
                </c:pt>
                <c:pt idx="9">
                  <c:v>3418</c:v>
                </c:pt>
                <c:pt idx="10">
                  <c:v>3632</c:v>
                </c:pt>
                <c:pt idx="11">
                  <c:v>3846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04-4028-A607-FE23741CB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7432111"/>
        <c:axId val="403170831"/>
      </c:barChart>
      <c:catAx>
        <c:axId val="527432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170831"/>
        <c:crosses val="autoZero"/>
        <c:auto val="1"/>
        <c:lblAlgn val="ctr"/>
        <c:lblOffset val="100"/>
        <c:noMultiLvlLbl val="0"/>
      </c:catAx>
      <c:valAx>
        <c:axId val="40317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4321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The year, as lines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Sales!$B$2:$B$13</c:f>
              <c:numCache>
                <c:formatCode>#,##0</c:formatCode>
                <c:ptCount val="12"/>
                <c:pt idx="0">
                  <c:v>1200</c:v>
                </c:pt>
                <c:pt idx="1">
                  <c:v>1414</c:v>
                </c:pt>
                <c:pt idx="2">
                  <c:v>1628</c:v>
                </c:pt>
                <c:pt idx="3">
                  <c:v>1842</c:v>
                </c:pt>
                <c:pt idx="4">
                  <c:v>2056</c:v>
                </c:pt>
                <c:pt idx="5">
                  <c:v>2270</c:v>
                </c:pt>
                <c:pt idx="6">
                  <c:v>2484</c:v>
                </c:pt>
                <c:pt idx="7">
                  <c:v>2698</c:v>
                </c:pt>
                <c:pt idx="8">
                  <c:v>2912</c:v>
                </c:pt>
                <c:pt idx="9">
                  <c:v>3126</c:v>
                </c:pt>
                <c:pt idx="10">
                  <c:v>3340</c:v>
                </c:pt>
                <c:pt idx="11">
                  <c:v>3554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8D-42F3-8BB5-19883CEFCC43}"/>
            </c:ext>
          </c:extLst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Sales!$C$2:$C$13</c:f>
              <c:numCache>
                <c:formatCode>#,##0</c:formatCode>
                <c:ptCount val="12"/>
                <c:pt idx="0">
                  <c:v>1653</c:v>
                </c:pt>
                <c:pt idx="1">
                  <c:v>1867</c:v>
                </c:pt>
                <c:pt idx="2">
                  <c:v>2081</c:v>
                </c:pt>
                <c:pt idx="3">
                  <c:v>2295</c:v>
                </c:pt>
                <c:pt idx="4">
                  <c:v>2509</c:v>
                </c:pt>
                <c:pt idx="5">
                  <c:v>2723</c:v>
                </c:pt>
                <c:pt idx="6">
                  <c:v>2937</c:v>
                </c:pt>
                <c:pt idx="7">
                  <c:v>3151</c:v>
                </c:pt>
                <c:pt idx="8">
                  <c:v>3365</c:v>
                </c:pt>
                <c:pt idx="9">
                  <c:v>3579</c:v>
                </c:pt>
                <c:pt idx="10">
                  <c:v>3793</c:v>
                </c:pt>
                <c:pt idx="11">
                  <c:v>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8D-42F3-8BB5-19883CEFCC43}"/>
            </c:ext>
          </c:extLst>
        </c:ser>
        <c:ser>
          <c:idx val="2"/>
          <c:order val="2"/>
          <c:tx>
            <c:strRef>
              <c:f>Sales!$D$1</c:f>
              <c:strCache>
                <c:ptCount val="1"/>
                <c:pt idx="0">
                  <c:v>East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Sales!$D$2:$D$13</c:f>
              <c:numCache>
                <c:formatCode>#,##0</c:formatCode>
                <c:ptCount val="12"/>
                <c:pt idx="0">
                  <c:v>2106</c:v>
                </c:pt>
                <c:pt idx="1">
                  <c:v>2320</c:v>
                </c:pt>
                <c:pt idx="2">
                  <c:v>2534</c:v>
                </c:pt>
                <c:pt idx="3">
                  <c:v>2748</c:v>
                </c:pt>
                <c:pt idx="4">
                  <c:v>2962</c:v>
                </c:pt>
                <c:pt idx="5">
                  <c:v>3176</c:v>
                </c:pt>
                <c:pt idx="6">
                  <c:v>3390</c:v>
                </c:pt>
                <c:pt idx="7">
                  <c:v>3604</c:v>
                </c:pt>
                <c:pt idx="8">
                  <c:v>3818</c:v>
                </c:pt>
                <c:pt idx="9">
                  <c:v>4032</c:v>
                </c:pt>
                <c:pt idx="10">
                  <c:v>4246</c:v>
                </c:pt>
                <c:pt idx="11">
                  <c:v>3393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8D-42F3-8BB5-19883CEFCC43}"/>
            </c:ext>
          </c:extLst>
        </c:ser>
        <c:ser>
          <c:idx val="3"/>
          <c:order val="3"/>
          <c:tx>
            <c:strRef>
              <c:f>Sales!$E$1</c:f>
              <c:strCache>
                <c:ptCount val="1"/>
                <c:pt idx="0">
                  <c:v>West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Sales!$E$2:$E$13</c:f>
              <c:numCache>
                <c:formatCode>#,##0</c:formatCode>
                <c:ptCount val="12"/>
                <c:pt idx="0">
                  <c:v>2559</c:v>
                </c:pt>
                <c:pt idx="1">
                  <c:v>2773</c:v>
                </c:pt>
                <c:pt idx="2">
                  <c:v>2987</c:v>
                </c:pt>
                <c:pt idx="3">
                  <c:v>3201</c:v>
                </c:pt>
                <c:pt idx="4">
                  <c:v>3415</c:v>
                </c:pt>
                <c:pt idx="5">
                  <c:v>3629</c:v>
                </c:pt>
                <c:pt idx="6">
                  <c:v>3843</c:v>
                </c:pt>
                <c:pt idx="7">
                  <c:v>4057</c:v>
                </c:pt>
                <c:pt idx="8">
                  <c:v>4271</c:v>
                </c:pt>
                <c:pt idx="9">
                  <c:v>3418</c:v>
                </c:pt>
                <c:pt idx="10">
                  <c:v>3632</c:v>
                </c:pt>
                <c:pt idx="11">
                  <c:v>3846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18D-42F3-8BB5-19883CEFCC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2229839"/>
        <c:axId val="403167471"/>
      </c:lineChart>
      <c:catAx>
        <c:axId val="532229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167471"/>
        <c:crosses val="autoZero"/>
        <c:auto val="1"/>
        <c:lblAlgn val="ctr"/>
        <c:lblOffset val="100"/>
        <c:noMultiLvlLbl val="0"/>
      </c:catAx>
      <c:valAx>
        <c:axId val="403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229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Monthly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Sales!$F$1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Sales!$F$2:$F$13</c:f>
              <c:numCache>
                <c:formatCode>#,##0</c:formatCode>
                <c:ptCount val="12"/>
                <c:pt idx="0">
                  <c:v>7518</c:v>
                </c:pt>
                <c:pt idx="1">
                  <c:v>8374</c:v>
                </c:pt>
                <c:pt idx="2">
                  <c:v>9230</c:v>
                </c:pt>
                <c:pt idx="3">
                  <c:v>10086</c:v>
                </c:pt>
                <c:pt idx="4">
                  <c:v>10942</c:v>
                </c:pt>
                <c:pt idx="5">
                  <c:v>11798</c:v>
                </c:pt>
                <c:pt idx="6">
                  <c:v>12654</c:v>
                </c:pt>
                <c:pt idx="7">
                  <c:v>13510</c:v>
                </c:pt>
                <c:pt idx="8">
                  <c:v>14366</c:v>
                </c:pt>
                <c:pt idx="9">
                  <c:v>14155</c:v>
                </c:pt>
                <c:pt idx="10">
                  <c:v>15011</c:v>
                </c:pt>
                <c:pt idx="11">
                  <c:v>14800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B-4501-9EFD-FC402A2EE7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32226127"/>
        <c:axId val="403168431"/>
      </c:barChart>
      <c:catAx>
        <c:axId val="53222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168431"/>
        <c:crosses val="autoZero"/>
        <c:auto val="1"/>
        <c:lblAlgn val="ctr"/>
        <c:lblOffset val="100"/>
        <c:noMultiLvlLbl val="0"/>
      </c:catAx>
      <c:valAx>
        <c:axId val="403168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22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Stacked, as areas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Sales!$B$2:$B$13</c:f>
              <c:numCache>
                <c:formatCode>#,##0</c:formatCode>
                <c:ptCount val="12"/>
                <c:pt idx="0">
                  <c:v>1200</c:v>
                </c:pt>
                <c:pt idx="1">
                  <c:v>1414</c:v>
                </c:pt>
                <c:pt idx="2">
                  <c:v>1628</c:v>
                </c:pt>
                <c:pt idx="3">
                  <c:v>1842</c:v>
                </c:pt>
                <c:pt idx="4">
                  <c:v>2056</c:v>
                </c:pt>
                <c:pt idx="5">
                  <c:v>2270</c:v>
                </c:pt>
                <c:pt idx="6">
                  <c:v>2484</c:v>
                </c:pt>
                <c:pt idx="7">
                  <c:v>2698</c:v>
                </c:pt>
                <c:pt idx="8">
                  <c:v>2912</c:v>
                </c:pt>
                <c:pt idx="9">
                  <c:v>3126</c:v>
                </c:pt>
                <c:pt idx="10">
                  <c:v>3340</c:v>
                </c:pt>
                <c:pt idx="11">
                  <c:v>3554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DF-48EA-81AB-F875120AE27D}"/>
            </c:ext>
          </c:extLst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Sales!$C$2:$C$13</c:f>
              <c:numCache>
                <c:formatCode>#,##0</c:formatCode>
                <c:ptCount val="12"/>
                <c:pt idx="0">
                  <c:v>1653</c:v>
                </c:pt>
                <c:pt idx="1">
                  <c:v>1867</c:v>
                </c:pt>
                <c:pt idx="2">
                  <c:v>2081</c:v>
                </c:pt>
                <c:pt idx="3">
                  <c:v>2295</c:v>
                </c:pt>
                <c:pt idx="4">
                  <c:v>2509</c:v>
                </c:pt>
                <c:pt idx="5">
                  <c:v>2723</c:v>
                </c:pt>
                <c:pt idx="6">
                  <c:v>2937</c:v>
                </c:pt>
                <c:pt idx="7">
                  <c:v>3151</c:v>
                </c:pt>
                <c:pt idx="8">
                  <c:v>3365</c:v>
                </c:pt>
                <c:pt idx="9">
                  <c:v>3579</c:v>
                </c:pt>
                <c:pt idx="10">
                  <c:v>3793</c:v>
                </c:pt>
                <c:pt idx="11">
                  <c:v>4007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DF-48EA-81AB-F875120AE27D}"/>
            </c:ext>
          </c:extLst>
        </c:ser>
        <c:ser>
          <c:idx val="2"/>
          <c:order val="2"/>
          <c:tx>
            <c:strRef>
              <c:f>Sales!$D$1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Sales!$D$2:$D$13</c:f>
              <c:numCache>
                <c:formatCode>#,##0</c:formatCode>
                <c:ptCount val="12"/>
                <c:pt idx="0">
                  <c:v>2106</c:v>
                </c:pt>
                <c:pt idx="1">
                  <c:v>2320</c:v>
                </c:pt>
                <c:pt idx="2">
                  <c:v>2534</c:v>
                </c:pt>
                <c:pt idx="3">
                  <c:v>2748</c:v>
                </c:pt>
                <c:pt idx="4">
                  <c:v>2962</c:v>
                </c:pt>
                <c:pt idx="5">
                  <c:v>3176</c:v>
                </c:pt>
                <c:pt idx="6">
                  <c:v>3390</c:v>
                </c:pt>
                <c:pt idx="7">
                  <c:v>3604</c:v>
                </c:pt>
                <c:pt idx="8">
                  <c:v>3818</c:v>
                </c:pt>
                <c:pt idx="9">
                  <c:v>4032</c:v>
                </c:pt>
                <c:pt idx="10">
                  <c:v>4246</c:v>
                </c:pt>
                <c:pt idx="11">
                  <c:v>3393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DF-48EA-81AB-F875120AE27D}"/>
            </c:ext>
          </c:extLst>
        </c:ser>
        <c:ser>
          <c:idx val="3"/>
          <c:order val="3"/>
          <c:tx>
            <c:strRef>
              <c:f>Sales!$E$1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Sales!$A$2:$A$13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Sales!$E$2:$E$13</c:f>
              <c:numCache>
                <c:formatCode>#,##0</c:formatCode>
                <c:ptCount val="12"/>
                <c:pt idx="0">
                  <c:v>2559</c:v>
                </c:pt>
                <c:pt idx="1">
                  <c:v>2773</c:v>
                </c:pt>
                <c:pt idx="2">
                  <c:v>2987</c:v>
                </c:pt>
                <c:pt idx="3">
                  <c:v>3201</c:v>
                </c:pt>
                <c:pt idx="4">
                  <c:v>3415</c:v>
                </c:pt>
                <c:pt idx="5">
                  <c:v>3629</c:v>
                </c:pt>
                <c:pt idx="6">
                  <c:v>3843</c:v>
                </c:pt>
                <c:pt idx="7">
                  <c:v>4057</c:v>
                </c:pt>
                <c:pt idx="8">
                  <c:v>4271</c:v>
                </c:pt>
                <c:pt idx="9">
                  <c:v>3418</c:v>
                </c:pt>
                <c:pt idx="10">
                  <c:v>3632</c:v>
                </c:pt>
                <c:pt idx="11">
                  <c:v>3846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DF-48EA-81AB-F875120AE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795279"/>
        <c:axId val="403158351"/>
      </c:areaChart>
      <c:catAx>
        <c:axId val="4147952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158351"/>
        <c:crosses val="autoZero"/>
        <c:auto val="1"/>
        <c:lblAlgn val="ctr"/>
        <c:lblOffset val="100"/>
        <c:noMultiLvlLbl val="0"/>
      </c:catAx>
      <c:valAx>
        <c:axId val="40315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795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image" Target="../media/image1.png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304800</xdr:colOff>
      <xdr:row>1</xdr:row>
      <xdr:rowOff>76200</xdr:rowOff>
    </xdr:from>
    <xdr:to>
      <xdr:col>10</xdr:col>
      <xdr:colOff>355600</xdr:colOff>
      <xdr:row>17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7F7A6E-4EC3-EA39-563C-2DCFFB8DB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127000</xdr:colOff>
      <xdr:row>0</xdr:row>
      <xdr:rowOff>127000</xdr:rowOff>
    </xdr:from>
    <xdr:to>
      <xdr:col>8</xdr:col>
      <xdr:colOff>584200</xdr:colOff>
      <xdr:row>16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7BC7CC-6CFE-0701-56A9-8E71239514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101600</xdr:colOff>
      <xdr:row>0</xdr:row>
      <xdr:rowOff>127000</xdr:rowOff>
    </xdr:from>
    <xdr:to>
      <xdr:col>17</xdr:col>
      <xdr:colOff>558800</xdr:colOff>
      <xdr:row>16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E764A3B-F138-E258-7A02-086DF293E2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127000</xdr:colOff>
      <xdr:row>17</xdr:row>
      <xdr:rowOff>63500</xdr:rowOff>
    </xdr:from>
    <xdr:to>
      <xdr:col>8</xdr:col>
      <xdr:colOff>584200</xdr:colOff>
      <xdr:row>33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57D220-5F0D-9534-0931-7F28F6AC8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101600</xdr:colOff>
      <xdr:row>17</xdr:row>
      <xdr:rowOff>63500</xdr:rowOff>
    </xdr:from>
    <xdr:to>
      <xdr:col>17</xdr:col>
      <xdr:colOff>558800</xdr:colOff>
      <xdr:row>33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80C722-A6F5-F54C-1543-827749AB2A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127000</xdr:colOff>
      <xdr:row>34</xdr:row>
      <xdr:rowOff>127000</xdr:rowOff>
    </xdr:from>
    <xdr:to>
      <xdr:col>2</xdr:col>
      <xdr:colOff>431800</xdr:colOff>
      <xdr:row>40</xdr:row>
      <xdr:rowOff>0</xdr:rowOff>
    </xdr:to>
    <xdr:sp macro="" textlink="">
      <xdr:nvSpPr>
        <xdr:cNvPr id="6" name="Shape Rectangle">
          <a:extLst>
            <a:ext uri="{FF2B5EF4-FFF2-40B4-BE49-F238E27FC236}">
              <a16:creationId xmlns:a16="http://schemas.microsoft.com/office/drawing/2014/main" id="{5F12FA55-D8E7-8E97-1188-00C17E4FF392}"/>
            </a:ext>
          </a:extLst>
        </xdr:cNvPr>
        <xdr:cNvSpPr/>
      </xdr:nvSpPr>
      <xdr:spPr>
        <a:xfrm>
          <a:off x="127000" y="6604000"/>
          <a:ext cx="1524000" cy="1016000"/>
        </a:xfrm>
        <a:prstGeom prst="rect">
          <a:avLst/>
        </a:prstGeom>
        <a:solidFill>
          <a:srgbClr val="C00000"/>
        </a:soli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Rectangle</a:t>
          </a:r>
        </a:p>
      </xdr:txBody>
    </xdr:sp>
    <xdr:clientData/>
  </xdr:twoCellAnchor>
  <xdr:twoCellAnchor>
    <xdr:from>
      <xdr:col>3</xdr:col>
      <xdr:colOff>139700</xdr:colOff>
      <xdr:row>34</xdr:row>
      <xdr:rowOff>127000</xdr:rowOff>
    </xdr:from>
    <xdr:to>
      <xdr:col>5</xdr:col>
      <xdr:colOff>444500</xdr:colOff>
      <xdr:row>40</xdr:row>
      <xdr:rowOff>0</xdr:rowOff>
    </xdr:to>
    <xdr:sp macro="" textlink="">
      <xdr:nvSpPr>
        <xdr:cNvPr id="7" name="Shape Rounded">
          <a:extLst>
            <a:ext uri="{FF2B5EF4-FFF2-40B4-BE49-F238E27FC236}">
              <a16:creationId xmlns:a16="http://schemas.microsoft.com/office/drawing/2014/main" id="{6D4247FE-BA6E-DEF9-C329-ED9B25177755}"/>
            </a:ext>
          </a:extLst>
        </xdr:cNvPr>
        <xdr:cNvSpPr/>
      </xdr:nvSpPr>
      <xdr:spPr>
        <a:xfrm>
          <a:off x="1968500" y="6604000"/>
          <a:ext cx="1524000" cy="1016000"/>
        </a:xfrm>
        <a:prstGeom prst="roundRect">
          <a:avLst/>
        </a:prstGeom>
        <a:gradFill flip="none" rotWithShape="1">
          <a:gsLst>
            <a:gs pos="0">
              <a:srgbClr val="ED7D31"/>
            </a:gs>
            <a:gs pos="100000">
              <a:srgbClr val="FFFFFF"/>
            </a:gs>
          </a:gsLst>
          <a:lin ang="5400000" scaled="1"/>
          <a:tileRect/>
        </a:gra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Rounded</a:t>
          </a:r>
        </a:p>
      </xdr:txBody>
    </xdr:sp>
    <xdr:clientData/>
  </xdr:twoCellAnchor>
  <xdr:twoCellAnchor>
    <xdr:from>
      <xdr:col>6</xdr:col>
      <xdr:colOff>152400</xdr:colOff>
      <xdr:row>34</xdr:row>
      <xdr:rowOff>127000</xdr:rowOff>
    </xdr:from>
    <xdr:to>
      <xdr:col>8</xdr:col>
      <xdr:colOff>457200</xdr:colOff>
      <xdr:row>40</xdr:row>
      <xdr:rowOff>0</xdr:rowOff>
    </xdr:to>
    <xdr:sp macro="" textlink="">
      <xdr:nvSpPr>
        <xdr:cNvPr id="8" name="Shape Oval">
          <a:extLst>
            <a:ext uri="{FF2B5EF4-FFF2-40B4-BE49-F238E27FC236}">
              <a16:creationId xmlns:a16="http://schemas.microsoft.com/office/drawing/2014/main" id="{FE2CBBCF-9A7B-D1EB-1207-649D450DB24D}"/>
            </a:ext>
          </a:extLst>
        </xdr:cNvPr>
        <xdr:cNvSpPr/>
      </xdr:nvSpPr>
      <xdr:spPr>
        <a:xfrm>
          <a:off x="3810000" y="6604000"/>
          <a:ext cx="1524000" cy="1016000"/>
        </a:xfrm>
        <a:prstGeom prst="ellipse">
          <a:avLst/>
        </a:prstGeom>
        <a:solidFill>
          <a:srgbClr val="FFC000"/>
        </a:soli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Oval</a:t>
          </a:r>
        </a:p>
      </xdr:txBody>
    </xdr:sp>
    <xdr:clientData/>
  </xdr:twoCellAnchor>
  <xdr:twoCellAnchor>
    <xdr:from>
      <xdr:col>9</xdr:col>
      <xdr:colOff>165100</xdr:colOff>
      <xdr:row>34</xdr:row>
      <xdr:rowOff>127000</xdr:rowOff>
    </xdr:from>
    <xdr:to>
      <xdr:col>11</xdr:col>
      <xdr:colOff>469900</xdr:colOff>
      <xdr:row>40</xdr:row>
      <xdr:rowOff>0</xdr:rowOff>
    </xdr:to>
    <xdr:sp macro="" textlink="">
      <xdr:nvSpPr>
        <xdr:cNvPr id="9" name="Shape Triangle">
          <a:extLst>
            <a:ext uri="{FF2B5EF4-FFF2-40B4-BE49-F238E27FC236}">
              <a16:creationId xmlns:a16="http://schemas.microsoft.com/office/drawing/2014/main" id="{A64CB176-5F8B-85E4-C121-21E7E856BE36}"/>
            </a:ext>
          </a:extLst>
        </xdr:cNvPr>
        <xdr:cNvSpPr/>
      </xdr:nvSpPr>
      <xdr:spPr>
        <a:xfrm>
          <a:off x="5651500" y="6604000"/>
          <a:ext cx="1524000" cy="1016000"/>
        </a:xfrm>
        <a:prstGeom prst="triangle">
          <a:avLst/>
        </a:prstGeom>
        <a:solidFill>
          <a:srgbClr val="70AD47"/>
        </a:solidFill>
        <a:ln w="19050">
          <a:solidFill>
            <a:srgbClr val="282828"/>
          </a:solidFill>
        </a:ln>
        <a:effectLst>
          <a:outerShdw blurRad="63500" dist="37357" dir="2700000" rotWithShape="0">
            <a:scrgbClr r="0" g="0" b="0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Triangle</a:t>
          </a:r>
        </a:p>
      </xdr:txBody>
    </xdr:sp>
    <xdr:clientData/>
  </xdr:twoCellAnchor>
  <xdr:twoCellAnchor>
    <xdr:from>
      <xdr:col>12</xdr:col>
      <xdr:colOff>177800</xdr:colOff>
      <xdr:row>34</xdr:row>
      <xdr:rowOff>127000</xdr:rowOff>
    </xdr:from>
    <xdr:to>
      <xdr:col>14</xdr:col>
      <xdr:colOff>482600</xdr:colOff>
      <xdr:row>40</xdr:row>
      <xdr:rowOff>0</xdr:rowOff>
    </xdr:to>
    <xdr:sp macro="" textlink="">
      <xdr:nvSpPr>
        <xdr:cNvPr id="10" name="Shape Star">
          <a:extLst>
            <a:ext uri="{FF2B5EF4-FFF2-40B4-BE49-F238E27FC236}">
              <a16:creationId xmlns:a16="http://schemas.microsoft.com/office/drawing/2014/main" id="{89D4B2C1-6415-9ADA-5AA4-5FB91FB205C0}"/>
            </a:ext>
          </a:extLst>
        </xdr:cNvPr>
        <xdr:cNvSpPr/>
      </xdr:nvSpPr>
      <xdr:spPr>
        <a:xfrm>
          <a:off x="7493000" y="6604000"/>
          <a:ext cx="1524000" cy="1016000"/>
        </a:xfrm>
        <a:prstGeom prst="star5">
          <a:avLst/>
        </a:prstGeom>
        <a:gradFill flip="none" rotWithShape="1">
          <a:gsLst>
            <a:gs pos="0">
              <a:srgbClr val="4472C4"/>
            </a:gs>
            <a:gs pos="100000">
              <a:srgbClr val="FFFFFF"/>
            </a:gs>
          </a:gsLst>
          <a:lin ang="5400000" scaled="1"/>
          <a:tileRect/>
        </a:gra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Star</a:t>
          </a:r>
        </a:p>
      </xdr:txBody>
    </xdr:sp>
    <xdr:clientData/>
  </xdr:twoCellAnchor>
  <xdr:twoCellAnchor>
    <xdr:from>
      <xdr:col>15</xdr:col>
      <xdr:colOff>190500</xdr:colOff>
      <xdr:row>34</xdr:row>
      <xdr:rowOff>127000</xdr:rowOff>
    </xdr:from>
    <xdr:to>
      <xdr:col>17</xdr:col>
      <xdr:colOff>495300</xdr:colOff>
      <xdr:row>40</xdr:row>
      <xdr:rowOff>0</xdr:rowOff>
    </xdr:to>
    <xdr:sp macro="" textlink="">
      <xdr:nvSpPr>
        <xdr:cNvPr id="11" name="Shape Arrow">
          <a:extLst>
            <a:ext uri="{FF2B5EF4-FFF2-40B4-BE49-F238E27FC236}">
              <a16:creationId xmlns:a16="http://schemas.microsoft.com/office/drawing/2014/main" id="{4767686E-EA9D-1936-8824-4D042BFF4E96}"/>
            </a:ext>
          </a:extLst>
        </xdr:cNvPr>
        <xdr:cNvSpPr/>
      </xdr:nvSpPr>
      <xdr:spPr>
        <a:xfrm>
          <a:off x="9334500" y="6604000"/>
          <a:ext cx="1524000" cy="1016000"/>
        </a:xfrm>
        <a:prstGeom prst="rightArrow">
          <a:avLst/>
        </a:prstGeom>
        <a:solidFill>
          <a:srgbClr val="7030A0"/>
        </a:soli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Arrow</a:t>
          </a:r>
        </a:p>
      </xdr:txBody>
    </xdr:sp>
    <xdr:clientData/>
  </xdr:twoCellAnchor>
  <xdr:twoCellAnchor>
    <xdr:from>
      <xdr:col>0</xdr:col>
      <xdr:colOff>127000</xdr:colOff>
      <xdr:row>42</xdr:row>
      <xdr:rowOff>0</xdr:rowOff>
    </xdr:from>
    <xdr:to>
      <xdr:col>2</xdr:col>
      <xdr:colOff>431800</xdr:colOff>
      <xdr:row>47</xdr:row>
      <xdr:rowOff>63500</xdr:rowOff>
    </xdr:to>
    <xdr:sp macro="" textlink="">
      <xdr:nvSpPr>
        <xdr:cNvPr id="12" name="Shape Chevron">
          <a:extLst>
            <a:ext uri="{FF2B5EF4-FFF2-40B4-BE49-F238E27FC236}">
              <a16:creationId xmlns:a16="http://schemas.microsoft.com/office/drawing/2014/main" id="{D33DE97C-F73C-1174-0E4F-841AEEE20EFA}"/>
            </a:ext>
          </a:extLst>
        </xdr:cNvPr>
        <xdr:cNvSpPr/>
      </xdr:nvSpPr>
      <xdr:spPr>
        <a:xfrm>
          <a:off x="127000" y="8001000"/>
          <a:ext cx="1524000" cy="1016000"/>
        </a:xfrm>
        <a:prstGeom prst="chevron">
          <a:avLst/>
        </a:prstGeom>
        <a:solidFill>
          <a:srgbClr val="00B0F0"/>
        </a:soli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Chevron</a:t>
          </a:r>
        </a:p>
      </xdr:txBody>
    </xdr:sp>
    <xdr:clientData/>
  </xdr:twoCellAnchor>
  <xdr:twoCellAnchor>
    <xdr:from>
      <xdr:col>3</xdr:col>
      <xdr:colOff>139700</xdr:colOff>
      <xdr:row>42</xdr:row>
      <xdr:rowOff>0</xdr:rowOff>
    </xdr:from>
    <xdr:to>
      <xdr:col>5</xdr:col>
      <xdr:colOff>444500</xdr:colOff>
      <xdr:row>47</xdr:row>
      <xdr:rowOff>63500</xdr:rowOff>
    </xdr:to>
    <xdr:sp macro="" textlink="">
      <xdr:nvSpPr>
        <xdr:cNvPr id="13" name="Shape Hexagon">
          <a:extLst>
            <a:ext uri="{FF2B5EF4-FFF2-40B4-BE49-F238E27FC236}">
              <a16:creationId xmlns:a16="http://schemas.microsoft.com/office/drawing/2014/main" id="{D6387AB7-7854-6944-3261-8D831050282F}"/>
            </a:ext>
          </a:extLst>
        </xdr:cNvPr>
        <xdr:cNvSpPr/>
      </xdr:nvSpPr>
      <xdr:spPr>
        <a:xfrm>
          <a:off x="1968500" y="8001000"/>
          <a:ext cx="1524000" cy="1016000"/>
        </a:xfrm>
        <a:prstGeom prst="hexagon">
          <a:avLst/>
        </a:prstGeom>
        <a:gradFill flip="none" rotWithShape="1">
          <a:gsLst>
            <a:gs pos="0">
              <a:srgbClr val="FF0066"/>
            </a:gs>
            <a:gs pos="100000">
              <a:srgbClr val="FFFFFF"/>
            </a:gs>
          </a:gsLst>
          <a:lin ang="5400000" scaled="1"/>
          <a:tileRect/>
        </a:gradFill>
        <a:ln w="19050">
          <a:solidFill>
            <a:srgbClr val="282828"/>
          </a:solidFill>
        </a:ln>
        <a:effectLst>
          <a:outerShdw blurRad="63500" dist="37357" dir="2700000" rotWithShape="0">
            <a:scrgbClr r="0" g="0" b="0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Hexagon</a:t>
          </a:r>
        </a:p>
      </xdr:txBody>
    </xdr:sp>
    <xdr:clientData/>
  </xdr:twoCellAnchor>
  <xdr:twoCellAnchor>
    <xdr:from>
      <xdr:col>6</xdr:col>
      <xdr:colOff>152400</xdr:colOff>
      <xdr:row>42</xdr:row>
      <xdr:rowOff>0</xdr:rowOff>
    </xdr:from>
    <xdr:to>
      <xdr:col>8</xdr:col>
      <xdr:colOff>457200</xdr:colOff>
      <xdr:row>47</xdr:row>
      <xdr:rowOff>63500</xdr:rowOff>
    </xdr:to>
    <xdr:sp macro="" textlink="">
      <xdr:nvSpPr>
        <xdr:cNvPr id="14" name="Shape Heart">
          <a:extLst>
            <a:ext uri="{FF2B5EF4-FFF2-40B4-BE49-F238E27FC236}">
              <a16:creationId xmlns:a16="http://schemas.microsoft.com/office/drawing/2014/main" id="{365CD6EA-933C-4B8B-BD38-7682B48C6C10}"/>
            </a:ext>
          </a:extLst>
        </xdr:cNvPr>
        <xdr:cNvSpPr/>
      </xdr:nvSpPr>
      <xdr:spPr>
        <a:xfrm>
          <a:off x="3810000" y="8001000"/>
          <a:ext cx="1524000" cy="1016000"/>
        </a:xfrm>
        <a:prstGeom prst="heart">
          <a:avLst/>
        </a:prstGeom>
        <a:solidFill>
          <a:srgbClr val="008080"/>
        </a:soli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Heart</a:t>
          </a:r>
        </a:p>
      </xdr:txBody>
    </xdr:sp>
    <xdr:clientData/>
  </xdr:twoCellAnchor>
  <xdr:twoCellAnchor>
    <xdr:from>
      <xdr:col>9</xdr:col>
      <xdr:colOff>165100</xdr:colOff>
      <xdr:row>42</xdr:row>
      <xdr:rowOff>0</xdr:rowOff>
    </xdr:from>
    <xdr:to>
      <xdr:col>11</xdr:col>
      <xdr:colOff>469900</xdr:colOff>
      <xdr:row>47</xdr:row>
      <xdr:rowOff>63500</xdr:rowOff>
    </xdr:to>
    <xdr:sp macro="" textlink="">
      <xdr:nvSpPr>
        <xdr:cNvPr id="15" name="Shape Smile">
          <a:extLst>
            <a:ext uri="{FF2B5EF4-FFF2-40B4-BE49-F238E27FC236}">
              <a16:creationId xmlns:a16="http://schemas.microsoft.com/office/drawing/2014/main" id="{FCCBF756-0110-C1F3-3CA9-CA5E64E97424}"/>
            </a:ext>
          </a:extLst>
        </xdr:cNvPr>
        <xdr:cNvSpPr/>
      </xdr:nvSpPr>
      <xdr:spPr>
        <a:xfrm>
          <a:off x="5651500" y="8001000"/>
          <a:ext cx="1524000" cy="1016000"/>
        </a:xfrm>
        <a:prstGeom prst="smileyFace">
          <a:avLst/>
        </a:prstGeom>
        <a:solidFill>
          <a:srgbClr val="806000"/>
        </a:soli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Smile</a:t>
          </a:r>
        </a:p>
      </xdr:txBody>
    </xdr:sp>
    <xdr:clientData/>
  </xdr:twoCellAnchor>
  <xdr:twoCellAnchor>
    <xdr:from>
      <xdr:col>12</xdr:col>
      <xdr:colOff>177800</xdr:colOff>
      <xdr:row>42</xdr:row>
      <xdr:rowOff>0</xdr:rowOff>
    </xdr:from>
    <xdr:to>
      <xdr:col>14</xdr:col>
      <xdr:colOff>482600</xdr:colOff>
      <xdr:row>47</xdr:row>
      <xdr:rowOff>63500</xdr:rowOff>
    </xdr:to>
    <xdr:sp macro="" textlink="">
      <xdr:nvSpPr>
        <xdr:cNvPr id="16" name="Shape Process">
          <a:extLst>
            <a:ext uri="{FF2B5EF4-FFF2-40B4-BE49-F238E27FC236}">
              <a16:creationId xmlns:a16="http://schemas.microsoft.com/office/drawing/2014/main" id="{63B9683E-A127-37E0-4D30-6802BECDBAE1}"/>
            </a:ext>
          </a:extLst>
        </xdr:cNvPr>
        <xdr:cNvSpPr/>
      </xdr:nvSpPr>
      <xdr:spPr>
        <a:xfrm>
          <a:off x="7493000" y="8001000"/>
          <a:ext cx="1524000" cy="1016000"/>
        </a:xfrm>
        <a:prstGeom prst="flowChartProcess">
          <a:avLst/>
        </a:prstGeom>
        <a:gradFill flip="none" rotWithShape="1">
          <a:gsLst>
            <a:gs pos="0">
              <a:srgbClr val="5B9BD5"/>
            </a:gs>
            <a:gs pos="100000">
              <a:srgbClr val="FFFFFF"/>
            </a:gs>
          </a:gsLst>
          <a:lin ang="5400000" scaled="1"/>
          <a:tileRect/>
        </a:gradFill>
        <a:ln w="19050">
          <a:solidFill>
            <a:srgbClr val="282828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Process</a:t>
          </a:r>
        </a:p>
      </xdr:txBody>
    </xdr:sp>
    <xdr:clientData/>
  </xdr:twoCellAnchor>
  <xdr:twoCellAnchor>
    <xdr:from>
      <xdr:col>15</xdr:col>
      <xdr:colOff>190500</xdr:colOff>
      <xdr:row>42</xdr:row>
      <xdr:rowOff>0</xdr:rowOff>
    </xdr:from>
    <xdr:to>
      <xdr:col>17</xdr:col>
      <xdr:colOff>495300</xdr:colOff>
      <xdr:row>47</xdr:row>
      <xdr:rowOff>63500</xdr:rowOff>
    </xdr:to>
    <xdr:sp macro="" textlink="">
      <xdr:nvSpPr>
        <xdr:cNvPr id="17" name="Shape Callout">
          <a:extLst>
            <a:ext uri="{FF2B5EF4-FFF2-40B4-BE49-F238E27FC236}">
              <a16:creationId xmlns:a16="http://schemas.microsoft.com/office/drawing/2014/main" id="{41123958-2E56-5A9E-B316-AD2684248781}"/>
            </a:ext>
          </a:extLst>
        </xdr:cNvPr>
        <xdr:cNvSpPr/>
      </xdr:nvSpPr>
      <xdr:spPr>
        <a:xfrm>
          <a:off x="9334500" y="8001000"/>
          <a:ext cx="1524000" cy="1016000"/>
        </a:xfrm>
        <a:prstGeom prst="wedgeRectCallout">
          <a:avLst/>
        </a:prstGeom>
        <a:solidFill>
          <a:srgbClr val="A5A5A5"/>
        </a:solidFill>
        <a:ln w="19050">
          <a:solidFill>
            <a:srgbClr val="282828"/>
          </a:solidFill>
        </a:ln>
        <a:effectLst>
          <a:outerShdw blurRad="63500" dist="37357" dir="2700000" rotWithShape="0">
            <a:scrgbClr r="0" g="0" b="0"/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200" b="1">
              <a:solidFill>
                <a:srgbClr val="FFFFFF"/>
              </a:solidFill>
            </a:rPr>
            <a:t>Callout</a:t>
          </a:r>
        </a:p>
      </xdr:txBody>
    </xdr:sp>
    <xdr:clientData/>
  </xdr:twoCellAnchor>
  <xdr:twoCellAnchor editAs="oneCell">
    <xdr:from>
      <xdr:col>0</xdr:col>
      <xdr:colOff>127000</xdr:colOff>
      <xdr:row>50</xdr:row>
      <xdr:rowOff>0</xdr:rowOff>
    </xdr:from>
    <xdr:to>
      <xdr:col>5</xdr:col>
      <xdr:colOff>127000</xdr:colOff>
      <xdr:row>60</xdr:row>
      <xdr:rowOff>127000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FF778A4-5815-7E01-D9BF-029D8289DBE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" y="9525000"/>
          <a:ext cx="3048000" cy="2032000"/>
        </a:xfrm>
        <a:prstGeom prst="rect">
          <a:avLst/>
        </a:prstGeom>
      </xdr:spPr>
    </xdr:pic>
    <xdr:clientData/>
  </xdr:twoCellAnchor>
  <xdr:twoCellAnchor>
    <xdr:from>
      <xdr:col>5</xdr:col>
      <xdr:colOff>381000</xdr:colOff>
      <xdr:row>50</xdr:row>
      <xdr:rowOff>0</xdr:rowOff>
    </xdr:from>
    <xdr:to>
      <xdr:col>11</xdr:col>
      <xdr:colOff>533400</xdr:colOff>
      <xdr:row>60</xdr:row>
      <xdr:rowOff>127000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CD9876FE-00A5-7440-516F-292044A09F38}"/>
            </a:ext>
          </a:extLst>
        </xdr:cNvPr>
        <xdr:cNvSpPr txBox="1"/>
      </xdr:nvSpPr>
      <xdr:spPr>
        <a:xfrm>
          <a:off x="3429000" y="9525000"/>
          <a:ext cx="3810000" cy="2032000"/>
        </a:xfrm>
        <a:prstGeom prst="rect">
          <a:avLst/>
        </a:prstGeom>
        <a:solidFill>
          <a:srgbClr val="FFF2CC"/>
        </a:solidFill>
        <a:ln w="9525" cmpd="sng">
          <a:solidFill>
            <a:srgbClr val="BF8F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horz" rtlCol="0" anchor="t"/>
        <a:lstStyle/>
        <a:p>
          <a:r>
            <a:rPr lang="en-GB" sz="1100"/>
            <a:t>A text box beside the picture.</a:t>
          </a:r>
        </a:p>
        <a:p>
          <a:r>
            <a:rPr lang="en-GB" sz="1100">
              <a:solidFill>
                <a:srgbClr val="C00000"/>
              </a:solidFill>
            </a:rPr>
            <a:t>Second line, in colour.</a:t>
          </a:r>
        </a:p>
        <a:p>
          <a:r>
            <a:rPr lang="en-GB" sz="1100" b="1"/>
            <a:t>Third line, bold.</a:t>
          </a:r>
        </a:p>
      </xdr:txBody>
    </xdr:sp>
    <xdr:clientData/>
  </xdr:twoCellAnchor>
  <xdr:twoCellAnchor>
    <xdr:from>
      <xdr:col>12</xdr:col>
      <xdr:colOff>304800</xdr:colOff>
      <xdr:row>50</xdr:row>
      <xdr:rowOff>127000</xdr:rowOff>
    </xdr:from>
    <xdr:to>
      <xdr:col>14</xdr:col>
      <xdr:colOff>355600</xdr:colOff>
      <xdr:row>57</xdr:row>
      <xdr:rowOff>63500</xdr:rowOff>
    </xdr:to>
    <xdr:grpSp>
      <xdr:nvGrpSpPr>
        <xdr:cNvPr id="23" name="Two circles">
          <a:extLst>
            <a:ext uri="{FF2B5EF4-FFF2-40B4-BE49-F238E27FC236}">
              <a16:creationId xmlns:a16="http://schemas.microsoft.com/office/drawing/2014/main" id="{CBCAE3EC-5B1E-5644-95F7-33C459B1047E}"/>
            </a:ext>
          </a:extLst>
        </xdr:cNvPr>
        <xdr:cNvGrpSpPr/>
      </xdr:nvGrpSpPr>
      <xdr:grpSpPr>
        <a:xfrm>
          <a:off x="7620000" y="9652000"/>
          <a:ext cx="1270000" cy="1270000"/>
          <a:chOff x="7620000" y="9652000"/>
          <a:chExt cx="1270000" cy="1270000"/>
        </a:xfrm>
      </xdr:grpSpPr>
      <xdr:sp macro="" textlink="">
        <xdr:nvSpPr>
          <xdr:cNvPr id="21" name="GroupA">
            <a:extLst>
              <a:ext uri="{FF2B5EF4-FFF2-40B4-BE49-F238E27FC236}">
                <a16:creationId xmlns:a16="http://schemas.microsoft.com/office/drawing/2014/main" id="{2C9DAE6D-5BDC-481F-3F0B-CD1232B25FEF}"/>
              </a:ext>
            </a:extLst>
          </xdr:cNvPr>
          <xdr:cNvSpPr/>
        </xdr:nvSpPr>
        <xdr:spPr>
          <a:xfrm>
            <a:off x="7620000" y="9652000"/>
            <a:ext cx="762000" cy="762000"/>
          </a:xfrm>
          <a:prstGeom prst="ellipse">
            <a:avLst/>
          </a:prstGeom>
          <a:solidFill>
            <a:srgbClr val="4472C4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  <xdr:sp macro="" textlink="">
        <xdr:nvSpPr>
          <xdr:cNvPr id="22" name="GroupB">
            <a:extLst>
              <a:ext uri="{FF2B5EF4-FFF2-40B4-BE49-F238E27FC236}">
                <a16:creationId xmlns:a16="http://schemas.microsoft.com/office/drawing/2014/main" id="{6F202DAA-17F6-45EC-0B52-6757C2167950}"/>
              </a:ext>
            </a:extLst>
          </xdr:cNvPr>
          <xdr:cNvSpPr/>
        </xdr:nvSpPr>
        <xdr:spPr>
          <a:xfrm>
            <a:off x="8128000" y="10160000"/>
            <a:ext cx="762000" cy="762000"/>
          </a:xfrm>
          <a:prstGeom prst="ellipse">
            <a:avLst/>
          </a:prstGeom>
          <a:solidFill>
            <a:srgbClr val="ED7D3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GB" sz="1100"/>
          </a:p>
        </xdr:txBody>
      </xdr:sp>
    </xdr:grpSp>
    <xdr:clientData/>
  </xdr:twoCellAnchor>
  <xdr:twoCellAnchor>
    <xdr:from>
      <xdr:col>15</xdr:col>
      <xdr:colOff>254000</xdr:colOff>
      <xdr:row>50</xdr:row>
      <xdr:rowOff>127000</xdr:rowOff>
    </xdr:from>
    <xdr:to>
      <xdr:col>17</xdr:col>
      <xdr:colOff>304800</xdr:colOff>
      <xdr:row>54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EA6E7AB-21E2-23F0-9CE8-CD814DBADC23}"/>
            </a:ext>
          </a:extLst>
        </xdr:cNvPr>
        <xdr:cNvSpPr/>
      </xdr:nvSpPr>
      <xdr:spPr>
        <a:xfrm rot="1800000">
          <a:off x="9398000" y="9652000"/>
          <a:ext cx="1270000" cy="635000"/>
        </a:xfrm>
        <a:prstGeom prst="rect">
          <a:avLst/>
        </a:prstGeom>
        <a:solidFill>
          <a:srgbClr val="70AD4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Rotated</a:t>
          </a:r>
        </a:p>
      </xdr:txBody>
    </xdr:sp>
    <xdr:clientData/>
  </xdr:twoCellAnchor>
  <xdr:twoCellAnchor>
    <xdr:from>
      <xdr:col>2</xdr:col>
      <xdr:colOff>431800</xdr:colOff>
      <xdr:row>37</xdr:row>
      <xdr:rowOff>63500</xdr:rowOff>
    </xdr:from>
    <xdr:to>
      <xdr:col>3</xdr:col>
      <xdr:colOff>139700</xdr:colOff>
      <xdr:row>37</xdr:row>
      <xdr:rowOff>63500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28BAA2B8-CD44-C2F3-9251-B5D5B755A138}"/>
            </a:ext>
          </a:extLst>
        </xdr:cNvPr>
        <xdr:cNvCxnSpPr/>
      </xdr:nvCxnSpPr>
      <xdr:spPr>
        <a:xfrm>
          <a:off x="1651000" y="7112000"/>
          <a:ext cx="317500" cy="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860045-3AF5-4921-99B3-6C67DBE34A39}" name="Orders" displayName="Orders" ref="A1:D8" totalsRowCount="1">
  <autoFilter ref="A1:D7" xr:uid="{CA860045-3AF5-4921-99B3-6C67DBE34A39}"/>
  <tableColumns count="4">
    <tableColumn id="1" xr3:uid="{C9064E8E-1B0C-46FC-9BE4-5CEAED10BC69}" name="Product" totalsRowLabel="Total"/>
    <tableColumn id="2" xr3:uid="{F498CE18-A934-4AB8-B7D8-B4F9474EDF68}" name="Quantity"/>
    <tableColumn id="3" xr3:uid="{F4BE2F9E-7A4E-420A-8721-9613340320C1}" name="Price" dataDxfId="1"/>
    <tableColumn id="4" xr3:uid="{7EE65220-784F-489E-BEF4-1D6C8325D7CE}" name="Amount" totalsRowFunction="sum" dataDxfId="0">
      <calculatedColumnFormula>B2*C2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office.rutba.io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EAB76-3F0F-430F-9452-1FC4463CF2BF}">
  <dimension ref="A1:H21"/>
  <sheetViews>
    <sheetView tabSelected="1" workbookViewId="0"/>
  </sheetViews>
  <sheetFormatPr defaultRowHeight="15" x14ac:dyDescent="0.25"/>
  <cols>
    <col min="1" max="1" width="12.7109375" customWidth="1"/>
    <col min="2" max="8" width="11.7109375" customWidth="1"/>
  </cols>
  <sheetData>
    <row r="1" spans="1:8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spans="1:8" x14ac:dyDescent="0.25">
      <c r="A2" s="5" t="s">
        <v>8</v>
      </c>
      <c r="B2" s="6">
        <v>1200</v>
      </c>
      <c r="C2" s="6">
        <v>1653</v>
      </c>
      <c r="D2" s="6">
        <v>2106</v>
      </c>
      <c r="E2" s="6">
        <v>2559</v>
      </c>
      <c r="F2" s="13">
        <f>SUM(B2:E2)</f>
        <v>7518</v>
      </c>
      <c r="G2" s="5"/>
      <c r="H2" s="5"/>
    </row>
    <row r="3" spans="1:8" x14ac:dyDescent="0.25">
      <c r="A3" s="5" t="s">
        <v>9</v>
      </c>
      <c r="B3" s="6">
        <v>1414</v>
      </c>
      <c r="C3" s="6">
        <v>1867</v>
      </c>
      <c r="D3" s="6">
        <v>2320</v>
      </c>
      <c r="E3" s="6">
        <v>2773</v>
      </c>
      <c r="F3" s="13">
        <f>SUM(B3:E3)</f>
        <v>8374</v>
      </c>
      <c r="G3" s="5"/>
      <c r="H3" s="7">
        <f>IFERROR((F3-F2)/F2,0)</f>
        <v>0.11386006916733174</v>
      </c>
    </row>
    <row r="4" spans="1:8" x14ac:dyDescent="0.25">
      <c r="A4" s="5" t="s">
        <v>10</v>
      </c>
      <c r="B4" s="6">
        <v>1628</v>
      </c>
      <c r="C4" s="6">
        <v>2081</v>
      </c>
      <c r="D4" s="6">
        <v>2534</v>
      </c>
      <c r="E4" s="6">
        <v>2987</v>
      </c>
      <c r="F4" s="13">
        <f>SUM(B4:E4)</f>
        <v>9230</v>
      </c>
      <c r="G4" s="5"/>
      <c r="H4" s="7">
        <f>IFERROR((F4-F3)/F3,0)</f>
        <v>0.10222116073561022</v>
      </c>
    </row>
    <row r="5" spans="1:8" x14ac:dyDescent="0.25">
      <c r="A5" s="5" t="s">
        <v>11</v>
      </c>
      <c r="B5" s="6">
        <v>1842</v>
      </c>
      <c r="C5" s="6">
        <v>2295</v>
      </c>
      <c r="D5" s="6">
        <v>2748</v>
      </c>
      <c r="E5" s="6">
        <v>3201</v>
      </c>
      <c r="F5" s="13">
        <f>SUM(B5:E5)</f>
        <v>10086</v>
      </c>
      <c r="G5" s="5"/>
      <c r="H5" s="7">
        <f>IFERROR((F5-F4)/F4,0)</f>
        <v>9.2741061755146265E-2</v>
      </c>
    </row>
    <row r="6" spans="1:8" x14ac:dyDescent="0.25">
      <c r="A6" s="5" t="s">
        <v>12</v>
      </c>
      <c r="B6" s="6">
        <v>2056</v>
      </c>
      <c r="C6" s="6">
        <v>2509</v>
      </c>
      <c r="D6" s="6">
        <v>2962</v>
      </c>
      <c r="E6" s="6">
        <v>3415</v>
      </c>
      <c r="F6" s="13">
        <f>SUM(B6:E6)</f>
        <v>10942</v>
      </c>
      <c r="G6" s="5"/>
      <c r="H6" s="7">
        <f>IFERROR((F6-F5)/F5,0)</f>
        <v>8.487011699385287E-2</v>
      </c>
    </row>
    <row r="7" spans="1:8" x14ac:dyDescent="0.25">
      <c r="A7" s="5" t="s">
        <v>13</v>
      </c>
      <c r="B7" s="6">
        <v>2270</v>
      </c>
      <c r="C7" s="6">
        <v>2723</v>
      </c>
      <c r="D7" s="6">
        <v>3176</v>
      </c>
      <c r="E7" s="6">
        <v>3629</v>
      </c>
      <c r="F7" s="13">
        <f>SUM(B7:E7)</f>
        <v>11798</v>
      </c>
      <c r="G7" s="5"/>
      <c r="H7" s="7">
        <f>IFERROR((F7-F6)/F6,0)</f>
        <v>7.8230670809723998E-2</v>
      </c>
    </row>
    <row r="8" spans="1:8" x14ac:dyDescent="0.25">
      <c r="A8" s="5" t="s">
        <v>14</v>
      </c>
      <c r="B8" s="6">
        <v>2484</v>
      </c>
      <c r="C8" s="6">
        <v>2937</v>
      </c>
      <c r="D8" s="6">
        <v>3390</v>
      </c>
      <c r="E8" s="6">
        <v>3843</v>
      </c>
      <c r="F8" s="13">
        <f>SUM(B8:E8)</f>
        <v>12654</v>
      </c>
      <c r="G8" s="5"/>
      <c r="H8" s="7">
        <f>IFERROR((F8-F7)/F7,0)</f>
        <v>7.2554670283098824E-2</v>
      </c>
    </row>
    <row r="9" spans="1:8" x14ac:dyDescent="0.25">
      <c r="A9" s="5" t="s">
        <v>15</v>
      </c>
      <c r="B9" s="6">
        <v>2698</v>
      </c>
      <c r="C9" s="6">
        <v>3151</v>
      </c>
      <c r="D9" s="6">
        <v>3604</v>
      </c>
      <c r="E9" s="6">
        <v>4057</v>
      </c>
      <c r="F9" s="13">
        <f>SUM(B9:E9)</f>
        <v>13510</v>
      </c>
      <c r="G9" s="5"/>
      <c r="H9" s="7">
        <f>IFERROR((F9-F8)/F8,0)</f>
        <v>6.7646593962383442E-2</v>
      </c>
    </row>
    <row r="10" spans="1:8" x14ac:dyDescent="0.25">
      <c r="A10" s="5" t="s">
        <v>16</v>
      </c>
      <c r="B10" s="6">
        <v>2912</v>
      </c>
      <c r="C10" s="6">
        <v>3365</v>
      </c>
      <c r="D10" s="6">
        <v>3818</v>
      </c>
      <c r="E10" s="6">
        <v>4271</v>
      </c>
      <c r="F10" s="13">
        <f>SUM(B10:E10)</f>
        <v>14366</v>
      </c>
      <c r="G10" s="5"/>
      <c r="H10" s="7">
        <f>IFERROR((F10-F9)/F9,0)</f>
        <v>6.3360473723168026E-2</v>
      </c>
    </row>
    <row r="11" spans="1:8" x14ac:dyDescent="0.25">
      <c r="A11" s="5" t="s">
        <v>17</v>
      </c>
      <c r="B11" s="6">
        <v>3126</v>
      </c>
      <c r="C11" s="6">
        <v>3579</v>
      </c>
      <c r="D11" s="6">
        <v>4032</v>
      </c>
      <c r="E11" s="6">
        <v>3418</v>
      </c>
      <c r="F11" s="13">
        <f>SUM(B11:E11)</f>
        <v>14155</v>
      </c>
      <c r="G11" s="5"/>
      <c r="H11" s="7">
        <f>IFERROR((F11-F10)/F10,0)</f>
        <v>-1.4687456494500905E-2</v>
      </c>
    </row>
    <row r="12" spans="1:8" x14ac:dyDescent="0.25">
      <c r="A12" s="5" t="s">
        <v>18</v>
      </c>
      <c r="B12" s="6">
        <v>3340</v>
      </c>
      <c r="C12" s="6">
        <v>3793</v>
      </c>
      <c r="D12" s="6">
        <v>4246</v>
      </c>
      <c r="E12" s="6">
        <v>3632</v>
      </c>
      <c r="F12" s="13">
        <f>SUM(B12:E12)</f>
        <v>15011</v>
      </c>
      <c r="G12" s="5"/>
      <c r="H12" s="7">
        <f>IFERROR((F12-F11)/F11,0)</f>
        <v>6.0473330978452845E-2</v>
      </c>
    </row>
    <row r="13" spans="1:8" x14ac:dyDescent="0.25">
      <c r="A13" s="5" t="s">
        <v>19</v>
      </c>
      <c r="B13" s="6">
        <v>3554</v>
      </c>
      <c r="C13" s="6">
        <v>4007</v>
      </c>
      <c r="D13" s="6">
        <v>3393</v>
      </c>
      <c r="E13" s="6">
        <v>3846</v>
      </c>
      <c r="F13" s="13">
        <f>SUM(B13:E13)</f>
        <v>14800</v>
      </c>
      <c r="G13" s="5"/>
      <c r="H13" s="7">
        <f>IFERROR((F13-F12)/F12,0)</f>
        <v>-1.405635867030844E-2</v>
      </c>
    </row>
    <row r="14" spans="1:8" x14ac:dyDescent="0.25">
      <c r="A14" s="8" t="s">
        <v>5</v>
      </c>
      <c r="B14" s="9">
        <f>SUM(B2:B13)</f>
        <v>28524</v>
      </c>
      <c r="C14" s="9">
        <f>SUM(C2:C13)</f>
        <v>33960</v>
      </c>
      <c r="D14" s="9">
        <f>SUM(D2:D13)</f>
        <v>38329</v>
      </c>
      <c r="E14" s="9">
        <f>SUM(E2:E13)</f>
        <v>41631</v>
      </c>
      <c r="F14" s="9">
        <f>SUM(F2:F13)</f>
        <v>142444</v>
      </c>
      <c r="G14" s="8"/>
      <c r="H14" s="8"/>
    </row>
    <row r="15" spans="1:8" x14ac:dyDescent="0.25">
      <c r="A15" s="10" t="s">
        <v>20</v>
      </c>
      <c r="B15" s="11">
        <f>AVERAGE(B2:B13)</f>
        <v>2377</v>
      </c>
      <c r="C15" s="11">
        <f>AVERAGE(C2:C13)</f>
        <v>2830</v>
      </c>
      <c r="D15" s="11">
        <f>AVERAGE(D2:D13)</f>
        <v>3194.0833333333335</v>
      </c>
      <c r="E15" s="11">
        <f>AVERAGE(E2:E13)</f>
        <v>3469.25</v>
      </c>
      <c r="F15" s="11">
        <f>AVERAGE(F2:F13)</f>
        <v>11870.333333333334</v>
      </c>
      <c r="G15" s="10"/>
      <c r="H15" s="10"/>
    </row>
    <row r="16" spans="1:8" x14ac:dyDescent="0.25">
      <c r="A16" s="10" t="s">
        <v>21</v>
      </c>
      <c r="B16" s="12">
        <f>MAX(B2:B13)</f>
        <v>3554</v>
      </c>
      <c r="C16" s="12">
        <f>MAX(C2:C13)</f>
        <v>4007</v>
      </c>
      <c r="D16" s="12">
        <f>MAX(D2:D13)</f>
        <v>4246</v>
      </c>
      <c r="E16" s="12">
        <f>MAX(E2:E13)</f>
        <v>4271</v>
      </c>
      <c r="F16" s="12">
        <f>MAX(F2:F13)</f>
        <v>15011</v>
      </c>
      <c r="G16" s="10"/>
      <c r="H16" s="10"/>
    </row>
    <row r="17" spans="1:8" x14ac:dyDescent="0.25">
      <c r="A17" s="10" t="s">
        <v>22</v>
      </c>
      <c r="B17" s="12">
        <f>MIN(B2:B13)</f>
        <v>1200</v>
      </c>
      <c r="C17" s="12">
        <f>MIN(C2:C13)</f>
        <v>1653</v>
      </c>
      <c r="D17" s="12">
        <f>MIN(D2:D13)</f>
        <v>2106</v>
      </c>
      <c r="E17" s="12">
        <f>MIN(E2:E13)</f>
        <v>2559</v>
      </c>
      <c r="F17" s="12">
        <f>MIN(F2:F13)</f>
        <v>7518</v>
      </c>
      <c r="G17" s="10"/>
      <c r="H17" s="10"/>
    </row>
    <row r="19" spans="1:8" x14ac:dyDescent="0.25">
      <c r="A19" s="14" t="s">
        <v>23</v>
      </c>
    </row>
    <row r="21" spans="1:8" x14ac:dyDescent="0.25">
      <c r="A21" t="s">
        <v>24</v>
      </c>
      <c r="B21" t="s">
        <v>25</v>
      </c>
    </row>
  </sheetData>
  <autoFilter ref="A1:H13" xr:uid="{5EDEAB76-3F0F-430F-9452-1FC4463CF2BF}"/>
  <conditionalFormatting sqref="B2:E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3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{9E74881A-9165-415D-BF28-B7FBF912DDEE}</x14:id>
        </ext>
      </extLst>
    </cfRule>
  </conditionalFormatting>
  <conditionalFormatting sqref="H3:H13">
    <cfRule type="iconSet" priority="3">
      <iconSet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B21" xr:uid="{E268854A-7F04-406D-9DB5-106C5FE0366B}">
      <formula1>"Yes,No,Maybe"</formula1>
    </dataValidation>
  </dataValidations>
  <hyperlinks>
    <hyperlink ref="A19" r:id="rId1" tooltip="The free suite" xr:uid="{01307902-DD1F-41F1-BC79-09CC1D4E9EC9}"/>
  </hyperlinks>
  <pageMargins left="0.7" right="0.7" top="0.75" bottom="0.75" header="0.3" footer="0.3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74881A-9165-415D-BF28-B7FBF912DDEE}">
            <x14:dataBar minLength="0" maxLength="100" negativeBarColorSameAsPositive="1" axisPosition="none">
              <x14:cfvo type="min"/>
              <x14:cfvo type="max"/>
            </x14:dataBar>
          </x14:cfRule>
          <xm:sqref>F2:F13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E87E98F7-B80B-4C31-BE88-FE32E3C95D8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Table!B2:E2</xm:f>
              <xm:sqref>G2</xm:sqref>
            </x14:sparkline>
            <x14:sparkline>
              <xm:f>Table!B3:E3</xm:f>
              <xm:sqref>G3</xm:sqref>
            </x14:sparkline>
            <x14:sparkline>
              <xm:f>Table!B4:E4</xm:f>
              <xm:sqref>G4</xm:sqref>
            </x14:sparkline>
            <x14:sparkline>
              <xm:f>Table!B5:E5</xm:f>
              <xm:sqref>G5</xm:sqref>
            </x14:sparkline>
            <x14:sparkline>
              <xm:f>Table!B6:E6</xm:f>
              <xm:sqref>G6</xm:sqref>
            </x14:sparkline>
            <x14:sparkline>
              <xm:f>Table!B7:E7</xm:f>
              <xm:sqref>G7</xm:sqref>
            </x14:sparkline>
            <x14:sparkline>
              <xm:f>Table!B8:E8</xm:f>
              <xm:sqref>G8</xm:sqref>
            </x14:sparkline>
            <x14:sparkline>
              <xm:f>Table!B9:E9</xm:f>
              <xm:sqref>G9</xm:sqref>
            </x14:sparkline>
            <x14:sparkline>
              <xm:f>Table!B10:E10</xm:f>
              <xm:sqref>G10</xm:sqref>
            </x14:sparkline>
            <x14:sparkline>
              <xm:f>Table!B11:E11</xm:f>
              <xm:sqref>G11</xm:sqref>
            </x14:sparkline>
            <x14:sparkline>
              <xm:f>Table!B12:E12</xm:f>
              <xm:sqref>G12</xm:sqref>
            </x14:sparkline>
            <x14:sparkline>
              <xm:f>Table!B13:E13</xm:f>
              <xm:sqref>G13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8FD5-64DD-4EA9-B67C-C8D0FF7B9713}">
  <dimension ref="A1:D20"/>
  <sheetViews>
    <sheetView workbookViewId="0"/>
  </sheetViews>
  <sheetFormatPr defaultRowHeight="15" x14ac:dyDescent="0.25"/>
  <cols>
    <col min="1" max="1" width="26.7109375" customWidth="1"/>
    <col min="2" max="2" width="16.7109375" customWidth="1"/>
  </cols>
  <sheetData>
    <row r="1" spans="1:4" ht="24" x14ac:dyDescent="0.4">
      <c r="A1" s="15" t="s">
        <v>26</v>
      </c>
      <c r="B1" s="16"/>
      <c r="C1" s="16"/>
      <c r="D1" s="16"/>
    </row>
    <row r="3" spans="1:4" x14ac:dyDescent="0.25">
      <c r="A3" s="19" t="s">
        <v>27</v>
      </c>
      <c r="B3" s="20">
        <f>SUM(Sales!F2:F13)</f>
        <v>142444</v>
      </c>
    </row>
    <row r="4" spans="1:4" x14ac:dyDescent="0.25">
      <c r="A4" s="19" t="s">
        <v>28</v>
      </c>
      <c r="B4" s="20">
        <f>GrandTotal</f>
        <v>142444</v>
      </c>
    </row>
    <row r="5" spans="1:4" x14ac:dyDescent="0.25">
      <c r="A5" s="19" t="s">
        <v>29</v>
      </c>
      <c r="B5" s="21" t="str">
        <f>INDEX(Sales!A2:A13,MATCH(MAX(Sales!F2:F13),Sales!F2:F13,0))</f>
        <v>Nov</v>
      </c>
    </row>
    <row r="6" spans="1:4" x14ac:dyDescent="0.25">
      <c r="A6" s="19" t="s">
        <v>30</v>
      </c>
      <c r="B6" s="20">
        <f>VLOOKUP("Mar",Sales!A2:F13,6,FALSE)</f>
        <v>9230</v>
      </c>
    </row>
    <row r="7" spans="1:4" x14ac:dyDescent="0.25">
      <c r="A7" s="19" t="s">
        <v>31</v>
      </c>
      <c r="B7" s="22">
        <f>COUNTIF(Sales!F2:F13,"&gt;8000")</f>
        <v>11</v>
      </c>
    </row>
    <row r="8" spans="1:4" x14ac:dyDescent="0.25">
      <c r="A8" s="19" t="s">
        <v>32</v>
      </c>
      <c r="B8" s="20">
        <f>SUMIF(Sales!A2:A13,"J*",Sales!F2:F13)</f>
        <v>31970</v>
      </c>
    </row>
    <row r="9" spans="1:4" x14ac:dyDescent="0.25">
      <c r="A9" s="19" t="s">
        <v>33</v>
      </c>
      <c r="B9" s="23">
        <f>Sales!B14/GrandTotal</f>
        <v>0.20024711465558395</v>
      </c>
    </row>
    <row r="10" spans="1:4" x14ac:dyDescent="0.25">
      <c r="A10" s="19" t="s">
        <v>34</v>
      </c>
      <c r="B10" s="24">
        <f>AVERAGE(SalesTotals)</f>
        <v>11870.333333333334</v>
      </c>
    </row>
    <row r="11" spans="1:4" x14ac:dyDescent="0.25">
      <c r="A11" s="19" t="s">
        <v>35</v>
      </c>
      <c r="B11" s="21" t="str">
        <f>IF(GrandTotal&gt;90000,"On target","Below target")</f>
        <v>On target</v>
      </c>
    </row>
    <row r="12" spans="1:4" x14ac:dyDescent="0.25">
      <c r="A12" s="19" t="s">
        <v>36</v>
      </c>
      <c r="B12" s="21" t="str">
        <f>TEXT(GrandTotal,"#,##0.00")</f>
        <v>142,444.00</v>
      </c>
    </row>
    <row r="13" spans="1:4" x14ac:dyDescent="0.25">
      <c r="A13" s="19" t="s">
        <v>37</v>
      </c>
      <c r="B13" s="25">
        <f>'Data types'!B2+'Data types'!B3</f>
        <v>45.141590000000001</v>
      </c>
    </row>
    <row r="14" spans="1:4" x14ac:dyDescent="0.25">
      <c r="A14" s="19" t="s">
        <v>38</v>
      </c>
      <c r="B14" s="26">
        <f>SUM(Table!D2:D7)</f>
        <v>4210.6499999999996</v>
      </c>
    </row>
    <row r="15" spans="1:4" x14ac:dyDescent="0.25">
      <c r="A15" s="19" t="s">
        <v>39</v>
      </c>
      <c r="B15" s="27">
        <f>ROUND(AVERAGE(Sales!B2:E13)*1.1,2)</f>
        <v>3264.34</v>
      </c>
    </row>
    <row r="16" spans="1:4" x14ac:dyDescent="0.25">
      <c r="A16" s="19" t="s">
        <v>40</v>
      </c>
      <c r="B16" s="22">
        <f>COUNTA(Regions)</f>
        <v>4</v>
      </c>
    </row>
    <row r="18" spans="1:4" x14ac:dyDescent="0.25">
      <c r="A18" s="3" t="s">
        <v>41</v>
      </c>
    </row>
    <row r="19" spans="1:4" x14ac:dyDescent="0.25">
      <c r="A19" t="str">
        <f>Sales!B1</f>
        <v>North</v>
      </c>
      <c r="B19" t="str">
        <f>Sales!C1</f>
        <v>South</v>
      </c>
      <c r="C19" t="str">
        <f>Sales!D1</f>
        <v>East</v>
      </c>
      <c r="D19" t="str">
        <f>Sales!E1</f>
        <v>West</v>
      </c>
    </row>
    <row r="20" spans="1:4" x14ac:dyDescent="0.25">
      <c r="A20" s="1">
        <f>Sales!B14</f>
        <v>28524</v>
      </c>
      <c r="B20" s="1">
        <f>Sales!C14</f>
        <v>33960</v>
      </c>
      <c r="C20" s="1">
        <f>Sales!D14</f>
        <v>38329</v>
      </c>
      <c r="D20" s="1">
        <f>Sales!E14</f>
        <v>41631</v>
      </c>
    </row>
  </sheetData>
  <mergeCells count="1">
    <mergeCell ref="A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608D-905D-4A9A-8AA1-BC31D22F7FE7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07354-BC68-42EE-AC37-195F2F3BCB8F}">
  <dimension ref="A1:D30"/>
  <sheetViews>
    <sheetView workbookViewId="0"/>
  </sheetViews>
  <sheetFormatPr defaultRowHeight="15" outlineLevelRow="1" x14ac:dyDescent="0.25"/>
  <cols>
    <col min="1" max="1" width="22.7109375" customWidth="1"/>
    <col min="2" max="2" width="34.7109375" customWidth="1"/>
    <col min="3" max="3" width="0" hidden="1" customWidth="1"/>
    <col min="4" max="4" width="18.7109375" customWidth="1"/>
  </cols>
  <sheetData>
    <row r="1" spans="1:4" x14ac:dyDescent="0.25">
      <c r="A1" s="28" t="s">
        <v>42</v>
      </c>
      <c r="B1" s="28" t="s">
        <v>43</v>
      </c>
      <c r="C1" s="28" t="s">
        <v>44</v>
      </c>
      <c r="D1" s="28" t="s">
        <v>45</v>
      </c>
    </row>
    <row r="2" spans="1:4" x14ac:dyDescent="0.25">
      <c r="A2" s="43" t="s">
        <v>46</v>
      </c>
      <c r="B2" s="17">
        <v>42</v>
      </c>
      <c r="C2" t="s">
        <v>47</v>
      </c>
      <c r="D2" t="s">
        <v>95</v>
      </c>
    </row>
    <row r="3" spans="1:4" x14ac:dyDescent="0.25">
      <c r="A3" t="s">
        <v>48</v>
      </c>
      <c r="B3" s="18">
        <v>3.1415899999999999</v>
      </c>
      <c r="C3" t="s">
        <v>49</v>
      </c>
      <c r="D3" t="s">
        <v>96</v>
      </c>
    </row>
    <row r="4" spans="1:4" x14ac:dyDescent="0.25">
      <c r="A4" t="s">
        <v>50</v>
      </c>
      <c r="B4" s="29">
        <v>1234.5</v>
      </c>
      <c r="C4" t="s">
        <v>51</v>
      </c>
      <c r="D4" t="s">
        <v>97</v>
      </c>
    </row>
    <row r="5" spans="1:4" x14ac:dyDescent="0.25">
      <c r="A5" t="s">
        <v>52</v>
      </c>
      <c r="B5" s="2">
        <v>0.25600000000000001</v>
      </c>
      <c r="C5" t="s">
        <v>53</v>
      </c>
    </row>
    <row r="6" spans="1:4" x14ac:dyDescent="0.25">
      <c r="A6" t="s">
        <v>54</v>
      </c>
      <c r="B6" s="30">
        <v>46275</v>
      </c>
      <c r="C6" t="s">
        <v>55</v>
      </c>
    </row>
    <row r="7" spans="1:4" x14ac:dyDescent="0.25">
      <c r="A7" t="s">
        <v>56</v>
      </c>
      <c r="B7" s="31">
        <v>0.75</v>
      </c>
      <c r="C7" t="s">
        <v>57</v>
      </c>
    </row>
    <row r="8" spans="1:4" x14ac:dyDescent="0.25">
      <c r="A8" t="s">
        <v>58</v>
      </c>
      <c r="B8" s="32">
        <v>0.375</v>
      </c>
      <c r="C8" t="s">
        <v>59</v>
      </c>
    </row>
    <row r="9" spans="1:4" x14ac:dyDescent="0.25">
      <c r="A9" t="s">
        <v>60</v>
      </c>
      <c r="B9" s="33">
        <v>123456789</v>
      </c>
      <c r="C9" t="s">
        <v>61</v>
      </c>
    </row>
    <row r="10" spans="1:4" x14ac:dyDescent="0.25">
      <c r="A10" t="s">
        <v>62</v>
      </c>
      <c r="B10" s="17" t="b">
        <v>1</v>
      </c>
      <c r="C10" t="s">
        <v>63</v>
      </c>
    </row>
    <row r="11" spans="1:4" x14ac:dyDescent="0.25">
      <c r="A11" t="s">
        <v>64</v>
      </c>
      <c r="B11" s="34">
        <v>-987.65</v>
      </c>
      <c r="C11" t="s">
        <v>65</v>
      </c>
    </row>
    <row r="12" spans="1:4" x14ac:dyDescent="0.25">
      <c r="A12" t="s">
        <v>66</v>
      </c>
      <c r="B12" s="1">
        <v>9876543</v>
      </c>
      <c r="C12" t="s">
        <v>67</v>
      </c>
    </row>
    <row r="13" spans="1:4" x14ac:dyDescent="0.25">
      <c r="A13" t="s">
        <v>68</v>
      </c>
      <c r="B13" s="35">
        <v>42.5</v>
      </c>
      <c r="C13" t="s">
        <v>69</v>
      </c>
    </row>
    <row r="14" spans="1:4" x14ac:dyDescent="0.25">
      <c r="A14" t="s">
        <v>70</v>
      </c>
      <c r="B14" t="e">
        <f>1/0</f>
        <v>#DIV/0!</v>
      </c>
    </row>
    <row r="15" spans="1:4" x14ac:dyDescent="0.25">
      <c r="A15" t="s">
        <v>71</v>
      </c>
      <c r="B15" t="e">
        <f>NA()</f>
        <v>#N/A</v>
      </c>
    </row>
    <row r="16" spans="1:4" x14ac:dyDescent="0.25">
      <c r="A16" t="s">
        <v>72</v>
      </c>
      <c r="B16" s="1">
        <f>Sales!F14</f>
        <v>142444</v>
      </c>
    </row>
    <row r="17" spans="1:4" ht="60" customHeight="1" x14ac:dyDescent="0.25">
      <c r="A17" t="s">
        <v>73</v>
      </c>
      <c r="B17" s="36" t="s">
        <v>74</v>
      </c>
    </row>
    <row r="18" spans="1:4" x14ac:dyDescent="0.25">
      <c r="A18" t="s">
        <v>75</v>
      </c>
      <c r="B18" s="3" t="s">
        <v>76</v>
      </c>
    </row>
    <row r="19" spans="1:4" ht="69.95" customHeight="1" x14ac:dyDescent="0.25">
      <c r="A19" t="s">
        <v>77</v>
      </c>
      <c r="B19" s="37" t="s">
        <v>78</v>
      </c>
    </row>
    <row r="20" spans="1:4" x14ac:dyDescent="0.25">
      <c r="A20" t="s">
        <v>79</v>
      </c>
      <c r="B20" s="39" t="s">
        <v>80</v>
      </c>
      <c r="C20" s="38"/>
      <c r="D20" s="38"/>
    </row>
    <row r="21" spans="1:4" ht="16.5" x14ac:dyDescent="0.25">
      <c r="A21" t="s">
        <v>81</v>
      </c>
      <c r="B21" t="s">
        <v>82</v>
      </c>
    </row>
    <row r="22" spans="1:4" x14ac:dyDescent="0.25">
      <c r="A22" t="s">
        <v>83</v>
      </c>
      <c r="B22" t="s">
        <v>84</v>
      </c>
    </row>
    <row r="23" spans="1:4" ht="30.75" thickBot="1" x14ac:dyDescent="0.45">
      <c r="A23" t="s">
        <v>85</v>
      </c>
      <c r="B23" s="40" t="s">
        <v>86</v>
      </c>
    </row>
    <row r="24" spans="1:4" ht="16.5" thickTop="1" thickBot="1" x14ac:dyDescent="0.3">
      <c r="A24" t="s">
        <v>87</v>
      </c>
      <c r="B24" s="41" t="s">
        <v>88</v>
      </c>
    </row>
    <row r="25" spans="1:4" ht="15.75" thickTop="1" x14ac:dyDescent="0.25">
      <c r="A25" t="s">
        <v>89</v>
      </c>
      <c r="B25" s="42" t="s">
        <v>90</v>
      </c>
    </row>
    <row r="27" spans="1:4" x14ac:dyDescent="0.25">
      <c r="A27" t="s">
        <v>91</v>
      </c>
    </row>
    <row r="28" spans="1:4" outlineLevel="1" x14ac:dyDescent="0.25">
      <c r="A28" t="s">
        <v>92</v>
      </c>
    </row>
    <row r="29" spans="1:4" outlineLevel="1" x14ac:dyDescent="0.25">
      <c r="A29" t="s">
        <v>93</v>
      </c>
    </row>
    <row r="30" spans="1:4" outlineLevel="1" x14ac:dyDescent="0.25">
      <c r="A30" t="s">
        <v>94</v>
      </c>
    </row>
  </sheetData>
  <mergeCells count="1">
    <mergeCell ref="B20:D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5F25D-D0B2-4537-8D52-65DD66A26673}">
  <dimension ref="A1:D10"/>
  <sheetViews>
    <sheetView workbookViewId="0">
      <pane xSplit="1" ySplit="1" topLeftCell="B2" activePane="bottomRight" state="frozenSplit"/>
      <selection pane="bottomLeft" activeCell="A2" sqref="A2"/>
      <selection pane="topRight" activeCell="B1" sqref="B1"/>
      <selection pane="bottomRight"/>
    </sheetView>
  </sheetViews>
  <sheetFormatPr defaultRowHeight="15" x14ac:dyDescent="0.25"/>
  <cols>
    <col min="1" max="1" width="22.7109375" customWidth="1"/>
    <col min="2" max="2" width="10.85546875" customWidth="1"/>
    <col min="4" max="4" width="10.140625" customWidth="1"/>
  </cols>
  <sheetData>
    <row r="1" spans="1:4" x14ac:dyDescent="0.25">
      <c r="A1" t="s">
        <v>98</v>
      </c>
      <c r="B1" t="s">
        <v>99</v>
      </c>
      <c r="C1" t="s">
        <v>100</v>
      </c>
      <c r="D1" t="s">
        <v>101</v>
      </c>
    </row>
    <row r="2" spans="1:4" x14ac:dyDescent="0.25">
      <c r="A2" t="s">
        <v>102</v>
      </c>
      <c r="B2">
        <v>4</v>
      </c>
      <c r="C2" s="29">
        <v>249.99</v>
      </c>
      <c r="D2" s="29">
        <f>B2*C2</f>
        <v>999.96</v>
      </c>
    </row>
    <row r="3" spans="1:4" x14ac:dyDescent="0.25">
      <c r="A3" t="s">
        <v>103</v>
      </c>
      <c r="B3">
        <v>12</v>
      </c>
      <c r="C3" s="29">
        <v>89.5</v>
      </c>
      <c r="D3" s="29">
        <f>B3*C3</f>
        <v>1074</v>
      </c>
    </row>
    <row r="4" spans="1:4" x14ac:dyDescent="0.25">
      <c r="A4" t="s">
        <v>104</v>
      </c>
      <c r="B4">
        <v>7</v>
      </c>
      <c r="C4" s="29">
        <v>34.25</v>
      </c>
      <c r="D4" s="29">
        <f>B4*C4</f>
        <v>239.75</v>
      </c>
    </row>
    <row r="5" spans="1:4" x14ac:dyDescent="0.25">
      <c r="A5" t="s">
        <v>105</v>
      </c>
      <c r="B5">
        <v>3</v>
      </c>
      <c r="C5" s="29">
        <v>129</v>
      </c>
      <c r="D5" s="29">
        <f>B5*C5</f>
        <v>387</v>
      </c>
    </row>
    <row r="6" spans="1:4" x14ac:dyDescent="0.25">
      <c r="A6" t="s">
        <v>106</v>
      </c>
      <c r="B6">
        <v>6</v>
      </c>
      <c r="C6" s="29">
        <v>219.99</v>
      </c>
      <c r="D6" s="29">
        <f>B6*C6</f>
        <v>1319.94</v>
      </c>
    </row>
    <row r="7" spans="1:4" x14ac:dyDescent="0.25">
      <c r="A7" t="s">
        <v>107</v>
      </c>
      <c r="B7">
        <v>40</v>
      </c>
      <c r="C7" s="29">
        <v>4.75</v>
      </c>
      <c r="D7" s="29">
        <f>B7*C7</f>
        <v>190</v>
      </c>
    </row>
    <row r="8" spans="1:4" x14ac:dyDescent="0.25">
      <c r="A8" t="s">
        <v>5</v>
      </c>
      <c r="C8" s="29"/>
      <c r="D8" s="29">
        <f>SUBTOTAL(109,Orders[Amount])</f>
        <v>4210.6499999999996</v>
      </c>
    </row>
    <row r="10" spans="1:4" x14ac:dyDescent="0.25">
      <c r="A10" t="s">
        <v>108</v>
      </c>
      <c r="B10" s="29">
        <f>SUM(Orders[Amount])</f>
        <v>4210.6499999999996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Sales</vt:lpstr>
      <vt:lpstr>Summary</vt:lpstr>
      <vt:lpstr>Charts</vt:lpstr>
      <vt:lpstr>Data types</vt:lpstr>
      <vt:lpstr>Table</vt:lpstr>
      <vt:lpstr>GrandTotal</vt:lpstr>
      <vt:lpstr>Regions</vt:lpstr>
      <vt:lpstr>SalesTotals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Ejaz Arain</dc:creator>
  <cp:lastModifiedBy>Ejaz Arain</cp:lastModifiedBy>
  <dcterms:created xsi:type="dcterms:W3CDTF">2026-09-09T19:51:23Z</dcterms:created>
  <dcterms:modified xsi:type="dcterms:W3CDTF">2026-09-09T19:51:41Z</dcterms:modified>
</cp:coreProperties>
</file>